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 codeName="{00000000-0000-0000-0000-000000000000}"/>
  <workbookPr showInkAnnotation="0" codeName="ThisWorkbook" autoCompressPictures="0"/>
  <bookViews>
    <workbookView xWindow="3920" yWindow="1780" windowWidth="25040" windowHeight="15500" tabRatio="500"/>
  </bookViews>
  <sheets>
    <sheet name="Box size comparisons for SIR" sheetId="1" r:id="rId1"/>
    <sheet name="BGI before and after mods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7" i="1" l="1"/>
  <c r="AG8" i="1"/>
  <c r="AG14" i="1"/>
  <c r="AG15" i="1"/>
  <c r="AG22" i="1"/>
  <c r="AG23" i="1"/>
  <c r="AG29" i="1"/>
  <c r="AG30" i="1"/>
  <c r="AG36" i="1"/>
  <c r="AG37" i="1"/>
  <c r="AG43" i="1"/>
  <c r="AG44" i="1"/>
  <c r="AG50" i="1"/>
  <c r="AG51" i="1"/>
  <c r="AC51" i="1"/>
  <c r="AC50" i="1"/>
  <c r="AC44" i="1"/>
  <c r="AC43" i="1"/>
  <c r="AC37" i="1"/>
  <c r="AC36" i="1"/>
  <c r="AC30" i="1"/>
  <c r="AC29" i="1"/>
  <c r="AC23" i="1"/>
  <c r="AC22" i="1"/>
  <c r="AC15" i="1"/>
  <c r="AC14" i="1"/>
  <c r="AC8" i="1"/>
  <c r="AC7" i="1"/>
  <c r="H55" i="1"/>
  <c r="H54" i="1"/>
  <c r="Y51" i="1"/>
  <c r="Y50" i="1"/>
  <c r="Y44" i="1"/>
  <c r="Y43" i="1"/>
  <c r="Y37" i="1"/>
  <c r="Y36" i="1"/>
  <c r="Y30" i="1"/>
  <c r="Y29" i="1"/>
  <c r="Y23" i="1"/>
  <c r="Y22" i="1"/>
  <c r="Y21" i="1"/>
  <c r="Y20" i="1"/>
  <c r="Y19" i="1"/>
  <c r="Y18" i="1"/>
  <c r="Y15" i="1"/>
  <c r="Y14" i="1"/>
  <c r="Y13" i="1"/>
  <c r="Y12" i="1"/>
  <c r="Y11" i="1"/>
  <c r="Y10" i="1"/>
  <c r="Y8" i="1"/>
  <c r="Y7" i="1"/>
  <c r="Y6" i="1"/>
  <c r="Y5" i="1"/>
  <c r="Y4" i="1"/>
  <c r="Y3" i="1"/>
  <c r="M23" i="1"/>
  <c r="N23" i="1"/>
  <c r="M22" i="1"/>
  <c r="N22" i="1"/>
  <c r="M15" i="1"/>
  <c r="N15" i="1"/>
  <c r="M14" i="1"/>
  <c r="N14" i="1"/>
  <c r="M8" i="1"/>
  <c r="N8" i="1"/>
  <c r="M7" i="1"/>
  <c r="N7" i="1"/>
  <c r="G25" i="2"/>
  <c r="G26" i="2"/>
  <c r="G27" i="2"/>
  <c r="G28" i="2"/>
  <c r="G32" i="2"/>
  <c r="G33" i="2"/>
  <c r="G34" i="2"/>
  <c r="G35" i="2"/>
  <c r="G39" i="2"/>
  <c r="G40" i="2"/>
  <c r="G41" i="2"/>
  <c r="G42" i="2"/>
  <c r="G46" i="2"/>
  <c r="G47" i="2"/>
  <c r="G48" i="2"/>
  <c r="G49" i="2"/>
  <c r="J49" i="2"/>
  <c r="J48" i="2"/>
  <c r="J47" i="2"/>
  <c r="J46" i="2"/>
  <c r="J42" i="2"/>
  <c r="J41" i="2"/>
  <c r="J40" i="2"/>
  <c r="J39" i="2"/>
  <c r="J35" i="2"/>
  <c r="J34" i="2"/>
  <c r="J33" i="2"/>
  <c r="J32" i="2"/>
  <c r="J28" i="2"/>
  <c r="J27" i="2"/>
  <c r="J26" i="2"/>
  <c r="J25" i="2"/>
  <c r="J29" i="2"/>
  <c r="J30" i="2"/>
  <c r="J43" i="2"/>
  <c r="J44" i="2"/>
  <c r="J50" i="2"/>
  <c r="J51" i="2"/>
  <c r="G51" i="2"/>
  <c r="G50" i="2"/>
  <c r="G44" i="2"/>
  <c r="G43" i="2"/>
  <c r="G30" i="2"/>
  <c r="G29" i="2"/>
  <c r="H8" i="1"/>
  <c r="I8" i="1"/>
  <c r="H7" i="1"/>
  <c r="I7" i="1"/>
  <c r="O23" i="1"/>
  <c r="O22" i="1"/>
  <c r="O15" i="1"/>
  <c r="O14" i="1"/>
  <c r="O8" i="1"/>
  <c r="O7" i="1"/>
  <c r="S15" i="1"/>
  <c r="T15" i="1"/>
  <c r="S14" i="1"/>
  <c r="T14" i="1"/>
  <c r="S37" i="1"/>
  <c r="T37" i="1"/>
  <c r="S36" i="1"/>
  <c r="T36" i="1"/>
  <c r="S30" i="1"/>
  <c r="T30" i="1"/>
  <c r="S29" i="1"/>
  <c r="T29" i="1"/>
  <c r="S23" i="1"/>
  <c r="T23" i="1"/>
  <c r="S22" i="1"/>
  <c r="T22" i="1"/>
  <c r="S8" i="1"/>
  <c r="T8" i="1"/>
  <c r="S7" i="1"/>
  <c r="T7" i="1"/>
  <c r="T21" i="1"/>
  <c r="T20" i="1"/>
  <c r="T19" i="1"/>
  <c r="T18" i="1"/>
  <c r="T13" i="1"/>
  <c r="T12" i="1"/>
  <c r="T11" i="1"/>
  <c r="T10" i="1"/>
  <c r="T6" i="1"/>
  <c r="T5" i="1"/>
  <c r="T4" i="1"/>
  <c r="T3" i="1"/>
</calcChain>
</file>

<file path=xl/sharedStrings.xml><?xml version="1.0" encoding="utf-8"?>
<sst xmlns="http://schemas.openxmlformats.org/spreadsheetml/2006/main" count="134" uniqueCount="32">
  <si>
    <t>Channel</t>
  </si>
  <si>
    <t>19H</t>
  </si>
  <si>
    <t>19V</t>
  </si>
  <si>
    <t>22V</t>
  </si>
  <si>
    <t>37H</t>
  </si>
  <si>
    <t>37V</t>
  </si>
  <si>
    <t>85H</t>
  </si>
  <si>
    <t>85V</t>
  </si>
  <si>
    <t>E2N - m</t>
  </si>
  <si>
    <t>E2N - e</t>
  </si>
  <si>
    <t>E2S - m</t>
  </si>
  <si>
    <t>E2S - e</t>
  </si>
  <si>
    <t>E2T - a</t>
  </si>
  <si>
    <t>E2T - d</t>
  </si>
  <si>
    <t>mean</t>
  </si>
  <si>
    <t>stddev</t>
  </si>
  <si>
    <t>Original 80 BOX_SIZE</t>
  </si>
  <si>
    <t>T pixels</t>
  </si>
  <si>
    <t>N/S pixels</t>
  </si>
  <si>
    <t>diff pixels</t>
  </si>
  <si>
    <t>diff %</t>
  </si>
  <si>
    <t>diff mean</t>
  </si>
  <si>
    <t>diff stddev</t>
  </si>
  <si>
    <t>diff percentage</t>
  </si>
  <si>
    <t>1 k</t>
  </si>
  <si>
    <t>.1k</t>
  </si>
  <si>
    <t>sirRSS 50, 30, 20 box</t>
  </si>
  <si>
    <t>bgiCSU 50, 30, 20 box</t>
  </si>
  <si>
    <t>diff pix</t>
  </si>
  <si>
    <t>mean diff</t>
  </si>
  <si>
    <t>T(12.5) pixels</t>
  </si>
  <si>
    <t>N/S(12.5) pixels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</si>
</sst>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%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3" fillId="0" borderId="0" xfId="0" applyFont="1"/>
    <xf numFmtId="164" fontId="0" fillId="0" borderId="0" xfId="0" applyNumberFormat="1"/>
    <xf numFmtId="2" fontId="0" fillId="0" borderId="0" xfId="0" applyNumberFormat="1"/>
    <xf numFmtId="10" fontId="0" fillId="0" borderId="0" xfId="0" applyNumberFormat="1"/>
    <xf numFmtId="165" fontId="0" fillId="0" borderId="0" xfId="0" applyNumberFormat="1"/>
    <xf numFmtId="0" fontId="5" fillId="0" borderId="0" xfId="0" applyFont="1"/>
  </cellXfs>
  <cellStyles count="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Normal" xfId="0" builtinId="0" customBuilti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H55"/>
  <sheetViews>
    <sheetView tabSelected="1" topLeftCell="P1" workbookViewId="0">
      <selection activeCell="AH1" sqref="AH1"/>
    </sheetView>
  </sheetViews>
  <sheetFormatPr baseColWidth="10" defaultRowHeight="15" x14ac:dyDescent="0"/>
  <cols>
    <col min="5" max="5" width="2.1640625" customWidth="1"/>
    <col min="6" max="6" width="8.6640625" customWidth="1"/>
    <col min="7" max="7" width="8.33203125" customWidth="1"/>
    <col min="8" max="8" width="9.5" customWidth="1"/>
    <col min="9" max="9" width="10.1640625" customWidth="1"/>
    <col min="10" max="10" width="3.5" customWidth="1"/>
    <col min="16" max="16" width="1.83203125" customWidth="1"/>
    <col min="17" max="17" width="23.6640625" customWidth="1"/>
    <col min="19" max="19" width="12.83203125" bestFit="1" customWidth="1"/>
    <col min="21" max="21" width="2.33203125" customWidth="1"/>
    <col min="24" max="24" width="12.83203125" bestFit="1" customWidth="1"/>
    <col min="26" max="26" width="2.33203125" customWidth="1"/>
  </cols>
  <sheetData>
    <row r="1" spans="1:34" s="6" customFormat="1" ht="18">
      <c r="A1" s="6" t="s">
        <v>0</v>
      </c>
      <c r="C1" s="6" t="s">
        <v>16</v>
      </c>
      <c r="F1" s="6">
        <v>60</v>
      </c>
      <c r="G1" s="6">
        <v>60</v>
      </c>
      <c r="H1" s="6" t="s">
        <v>19</v>
      </c>
      <c r="I1" s="6" t="s">
        <v>20</v>
      </c>
      <c r="K1" s="6">
        <v>50</v>
      </c>
      <c r="L1" s="6">
        <v>50</v>
      </c>
      <c r="M1" s="6" t="s">
        <v>19</v>
      </c>
      <c r="N1" s="6" t="s">
        <v>20</v>
      </c>
      <c r="O1" s="6" t="s">
        <v>20</v>
      </c>
      <c r="Q1" s="6">
        <v>30</v>
      </c>
      <c r="R1" s="6">
        <v>30</v>
      </c>
      <c r="S1" s="6" t="s">
        <v>19</v>
      </c>
      <c r="T1" s="6" t="s">
        <v>20</v>
      </c>
      <c r="V1" s="6">
        <v>20</v>
      </c>
      <c r="W1" s="6">
        <v>20</v>
      </c>
      <c r="X1" s="6" t="s">
        <v>19</v>
      </c>
      <c r="Y1" s="6" t="s">
        <v>20</v>
      </c>
      <c r="AB1" s="6" t="s">
        <v>26</v>
      </c>
      <c r="AF1" s="6" t="s">
        <v>27</v>
      </c>
    </row>
    <row r="2" spans="1:34">
      <c r="A2" t="s">
        <v>1</v>
      </c>
      <c r="C2" t="s">
        <v>14</v>
      </c>
      <c r="D2" t="s">
        <v>15</v>
      </c>
      <c r="K2" s="2"/>
      <c r="Q2" s="2"/>
      <c r="R2" s="2"/>
      <c r="V2" s="2"/>
      <c r="W2" s="2"/>
      <c r="AB2" t="s">
        <v>28</v>
      </c>
      <c r="AC2" t="s">
        <v>20</v>
      </c>
      <c r="AD2" t="s">
        <v>29</v>
      </c>
      <c r="AF2" t="s">
        <v>28</v>
      </c>
      <c r="AG2" t="s">
        <v>20</v>
      </c>
      <c r="AH2" t="s">
        <v>29</v>
      </c>
    </row>
    <row r="3" spans="1:34">
      <c r="B3" t="s">
        <v>8</v>
      </c>
      <c r="C3">
        <v>101.19</v>
      </c>
      <c r="D3">
        <v>102.02</v>
      </c>
      <c r="H3">
        <v>0</v>
      </c>
      <c r="I3" s="5"/>
      <c r="J3" s="5"/>
      <c r="K3" s="2"/>
      <c r="L3" s="2"/>
      <c r="M3">
        <v>0</v>
      </c>
      <c r="N3" s="4"/>
      <c r="O3" s="4"/>
      <c r="Q3" s="2">
        <v>0.03</v>
      </c>
      <c r="R3" s="2">
        <v>2.5017</v>
      </c>
      <c r="S3" s="3">
        <v>1922605</v>
      </c>
      <c r="T3" s="4">
        <f>S3/$C$55</f>
        <v>5.7948887201003087E-2</v>
      </c>
      <c r="U3" s="4"/>
      <c r="V3" s="2">
        <v>-1.0209999999999999</v>
      </c>
      <c r="W3" s="2">
        <v>14.358700000000001</v>
      </c>
      <c r="X3" s="3">
        <v>6838159</v>
      </c>
      <c r="Y3" s="4">
        <f>X3/$C$55</f>
        <v>0.20610770519868826</v>
      </c>
      <c r="Z3" s="4"/>
    </row>
    <row r="4" spans="1:34">
      <c r="B4" t="s">
        <v>9</v>
      </c>
      <c r="C4">
        <v>103.98</v>
      </c>
      <c r="D4">
        <v>103.07</v>
      </c>
      <c r="H4">
        <v>0</v>
      </c>
      <c r="I4" s="5"/>
      <c r="J4" s="5"/>
      <c r="K4" s="2"/>
      <c r="L4" s="2"/>
      <c r="M4">
        <v>0</v>
      </c>
      <c r="N4" s="4"/>
      <c r="O4" s="4"/>
      <c r="Q4" s="2">
        <v>1.2999999999999999E-2</v>
      </c>
      <c r="R4" s="2">
        <v>1.6029</v>
      </c>
      <c r="S4" s="3">
        <v>2001855</v>
      </c>
      <c r="T4" s="4">
        <f>S4/$C$55</f>
        <v>6.0337547019675926E-2</v>
      </c>
      <c r="U4" s="4"/>
      <c r="V4" s="2">
        <v>-0.97689999999999999</v>
      </c>
      <c r="W4" s="2">
        <v>13.8314</v>
      </c>
      <c r="X4" s="3">
        <v>7123450</v>
      </c>
      <c r="Y4" s="4">
        <f>X4/$C$55</f>
        <v>0.21470660927854937</v>
      </c>
      <c r="Z4" s="4"/>
      <c r="AG4" s="4"/>
      <c r="AH4" s="3"/>
    </row>
    <row r="5" spans="1:34">
      <c r="B5" t="s">
        <v>10</v>
      </c>
      <c r="C5">
        <v>81.86</v>
      </c>
      <c r="D5">
        <v>85.35</v>
      </c>
      <c r="H5">
        <v>0</v>
      </c>
      <c r="I5" s="5"/>
      <c r="J5" s="5"/>
      <c r="K5" s="2"/>
      <c r="L5" s="2"/>
      <c r="M5">
        <v>0</v>
      </c>
      <c r="N5" s="4"/>
      <c r="O5" s="4"/>
      <c r="Q5" s="2">
        <v>1.6500000000000001E-2</v>
      </c>
      <c r="R5" s="2">
        <v>1.7582</v>
      </c>
      <c r="S5" s="3">
        <v>1748374</v>
      </c>
      <c r="T5" s="4">
        <f>S5/$C$55</f>
        <v>5.2697422357253089E-2</v>
      </c>
      <c r="U5" s="4"/>
      <c r="V5" s="2">
        <v>-0.84650000000000003</v>
      </c>
      <c r="W5" s="2">
        <v>12.2212</v>
      </c>
      <c r="X5" s="3">
        <v>6065268</v>
      </c>
      <c r="Y5" s="4">
        <f>X5/$C$55</f>
        <v>0.1828121383101852</v>
      </c>
      <c r="Z5" s="4"/>
      <c r="AC5" s="4"/>
      <c r="AG5" s="4"/>
      <c r="AH5" s="2"/>
    </row>
    <row r="6" spans="1:34">
      <c r="B6" t="s">
        <v>11</v>
      </c>
      <c r="C6">
        <v>82.41</v>
      </c>
      <c r="D6">
        <v>86.75</v>
      </c>
      <c r="H6">
        <v>0</v>
      </c>
      <c r="I6" s="5"/>
      <c r="J6" s="5"/>
      <c r="K6" s="2"/>
      <c r="L6" s="2"/>
      <c r="M6">
        <v>0</v>
      </c>
      <c r="N6" s="4"/>
      <c r="O6" s="4"/>
      <c r="Q6" s="2">
        <v>1.5800000000000002E-2</v>
      </c>
      <c r="R6" s="2">
        <v>1.8906000000000001</v>
      </c>
      <c r="S6" s="3">
        <v>1776679</v>
      </c>
      <c r="T6" s="4">
        <f>S6/$C$55</f>
        <v>5.3550558207947532E-2</v>
      </c>
      <c r="U6" s="4"/>
      <c r="V6" s="2">
        <v>-0.91290000000000004</v>
      </c>
      <c r="W6" s="2">
        <v>13.151199999999999</v>
      </c>
      <c r="X6" s="3">
        <v>5663996</v>
      </c>
      <c r="Y6" s="4">
        <f>X6/$C$55</f>
        <v>0.170717472029321</v>
      </c>
      <c r="Z6" s="4"/>
      <c r="AC6" s="4"/>
      <c r="AG6" s="4"/>
      <c r="AH6" s="2"/>
    </row>
    <row r="7" spans="1:34">
      <c r="B7" t="s">
        <v>12</v>
      </c>
      <c r="C7">
        <v>104.25</v>
      </c>
      <c r="D7">
        <v>95.55</v>
      </c>
      <c r="F7" s="2">
        <v>0</v>
      </c>
      <c r="G7" s="2">
        <v>6.1000000000000004E-3</v>
      </c>
      <c r="H7" s="2">
        <f>(3374)</f>
        <v>3374</v>
      </c>
      <c r="I7" s="5">
        <f>(H7/$C$54)</f>
        <v>7.0336682143238338E-5</v>
      </c>
      <c r="J7" s="5"/>
      <c r="K7" s="2">
        <v>5.0000000000000001E-4</v>
      </c>
      <c r="L7" s="2">
        <v>0.31519999999999998</v>
      </c>
      <c r="M7" s="3">
        <f>(1309611)</f>
        <v>1309611</v>
      </c>
      <c r="N7" s="4">
        <f>(M7/$C$54)</f>
        <v>2.7301035162504001E-2</v>
      </c>
      <c r="O7" s="4">
        <f>(N7/$C$54)</f>
        <v>5.6913581280569563E-10</v>
      </c>
      <c r="Q7" s="2">
        <v>4.0899999999999999E-2</v>
      </c>
      <c r="R7" s="2">
        <v>2.7936000000000001</v>
      </c>
      <c r="S7" s="3">
        <f>(6914911)</f>
        <v>6914911</v>
      </c>
      <c r="T7" s="4">
        <f>(S7/$C$54)</f>
        <v>0.144152903691696</v>
      </c>
      <c r="U7" s="4"/>
      <c r="V7" s="2">
        <v>-0.85040000000000004</v>
      </c>
      <c r="W7" s="2">
        <v>12.595700000000001</v>
      </c>
      <c r="X7" s="3">
        <v>12415396</v>
      </c>
      <c r="Y7" s="4">
        <f>(X7/$C$54)</f>
        <v>0.25881972795922725</v>
      </c>
      <c r="Z7" s="4"/>
      <c r="AB7" s="2">
        <v>9709</v>
      </c>
      <c r="AC7" s="4">
        <f>AB7/H54</f>
        <v>3.2384059131177288E-3</v>
      </c>
      <c r="AD7">
        <v>1.5E-3</v>
      </c>
      <c r="AF7">
        <v>15038</v>
      </c>
      <c r="AG7" s="4">
        <f>AF7/H54</f>
        <v>5.0158768278364824E-3</v>
      </c>
      <c r="AH7" s="2">
        <v>0</v>
      </c>
    </row>
    <row r="8" spans="1:34">
      <c r="B8" t="s">
        <v>13</v>
      </c>
      <c r="C8">
        <v>99.7</v>
      </c>
      <c r="D8">
        <v>94.63</v>
      </c>
      <c r="F8" s="2">
        <v>0</v>
      </c>
      <c r="G8" s="2">
        <v>6.7000000000000002E-3</v>
      </c>
      <c r="H8" s="2">
        <f>(3351)</f>
        <v>3351</v>
      </c>
      <c r="I8" s="5">
        <f>(H8/$C$54)</f>
        <v>6.9857208613512646E-5</v>
      </c>
      <c r="J8" s="5"/>
      <c r="K8" s="2">
        <v>8.0000000000000004E-4</v>
      </c>
      <c r="L8" s="2">
        <v>0.41880000000000001</v>
      </c>
      <c r="M8" s="3">
        <f>(1240343)</f>
        <v>1240343</v>
      </c>
      <c r="N8" s="4">
        <f>(M8/$C$54)</f>
        <v>2.5857027664371864E-2</v>
      </c>
      <c r="O8" s="4">
        <f>(N8/$C$54)</f>
        <v>5.3903305749787918E-10</v>
      </c>
      <c r="Q8" s="2">
        <v>4.5699999999999998E-2</v>
      </c>
      <c r="R8" s="2">
        <v>2.8953000000000002</v>
      </c>
      <c r="S8" s="3">
        <f>(6638443)</f>
        <v>6638443</v>
      </c>
      <c r="T8" s="4">
        <f>(S8/$C$54)</f>
        <v>0.13838946509099156</v>
      </c>
      <c r="U8" s="4"/>
      <c r="V8" s="2">
        <v>-0.78080000000000005</v>
      </c>
      <c r="W8" s="2">
        <v>11.8355</v>
      </c>
      <c r="X8" s="3">
        <v>11854884</v>
      </c>
      <c r="Y8" s="4">
        <f>(X8/$C$54)</f>
        <v>0.24713491634646173</v>
      </c>
      <c r="Z8" s="4"/>
      <c r="AB8" s="2">
        <v>9917</v>
      </c>
      <c r="AC8" s="4">
        <f>AB8/H54</f>
        <v>3.3077836482015158E-3</v>
      </c>
      <c r="AD8">
        <v>8.9999999999999998E-4</v>
      </c>
      <c r="AF8">
        <v>15109</v>
      </c>
      <c r="AG8" s="4">
        <f>AF8/H54</f>
        <v>5.0395586508698896E-3</v>
      </c>
      <c r="AH8" s="2">
        <v>1E-4</v>
      </c>
    </row>
    <row r="9" spans="1:34">
      <c r="A9" t="s">
        <v>2</v>
      </c>
      <c r="I9" s="5"/>
      <c r="J9" s="5"/>
      <c r="K9" s="2"/>
      <c r="L9" s="2"/>
      <c r="N9" s="4"/>
      <c r="O9" s="4"/>
      <c r="Q9" s="2"/>
      <c r="R9" s="2"/>
      <c r="S9" s="3"/>
      <c r="T9" s="4"/>
      <c r="U9" s="4"/>
      <c r="V9" s="2"/>
      <c r="W9" s="2"/>
      <c r="X9" s="3"/>
      <c r="Y9" s="4"/>
      <c r="Z9" s="4"/>
      <c r="AC9" s="4"/>
      <c r="AG9" s="4"/>
      <c r="AH9" s="2"/>
    </row>
    <row r="10" spans="1:34">
      <c r="B10" t="s">
        <v>8</v>
      </c>
      <c r="C10">
        <v>122.43</v>
      </c>
      <c r="D10">
        <v>115.7</v>
      </c>
      <c r="H10">
        <v>0</v>
      </c>
      <c r="I10" s="2"/>
      <c r="J10" s="2"/>
      <c r="K10" s="2"/>
      <c r="L10" s="2"/>
      <c r="M10">
        <v>0</v>
      </c>
      <c r="N10" s="4"/>
      <c r="O10" s="4"/>
      <c r="Q10" s="2">
        <v>3.6900000000000002E-2</v>
      </c>
      <c r="R10" s="2">
        <v>2.9514</v>
      </c>
      <c r="S10" s="3">
        <v>1671980</v>
      </c>
      <c r="T10" s="4">
        <f>S10/$C$55</f>
        <v>5.0394844714506171E-2</v>
      </c>
      <c r="U10" s="4"/>
      <c r="V10" s="2">
        <v>-1.25</v>
      </c>
      <c r="W10" s="2">
        <v>16.965399999999999</v>
      </c>
      <c r="X10" s="3">
        <v>5984866</v>
      </c>
      <c r="Y10" s="4">
        <f>X10/$C$55</f>
        <v>0.18038875626929013</v>
      </c>
      <c r="Z10" s="4"/>
      <c r="AC10" s="4"/>
      <c r="AG10" s="4"/>
      <c r="AH10" s="2"/>
    </row>
    <row r="11" spans="1:34">
      <c r="B11" t="s">
        <v>9</v>
      </c>
      <c r="C11">
        <v>126.14</v>
      </c>
      <c r="D11">
        <v>116.57</v>
      </c>
      <c r="H11">
        <v>0</v>
      </c>
      <c r="I11" s="2"/>
      <c r="J11" s="2"/>
      <c r="K11" s="2"/>
      <c r="L11" s="2"/>
      <c r="M11">
        <v>0</v>
      </c>
      <c r="N11" s="4"/>
      <c r="O11" s="4"/>
      <c r="Q11" s="2">
        <v>1.66E-2</v>
      </c>
      <c r="R11" s="2">
        <v>1.9594</v>
      </c>
      <c r="S11" s="3">
        <v>1765243</v>
      </c>
      <c r="T11" s="4">
        <f>S11/$C$55</f>
        <v>5.3205867814429014E-2</v>
      </c>
      <c r="U11" s="4"/>
      <c r="V11" s="2">
        <v>-1.2317</v>
      </c>
      <c r="W11" s="2">
        <v>16.756</v>
      </c>
      <c r="X11" s="3">
        <v>6334471</v>
      </c>
      <c r="Y11" s="4">
        <f>X11/$C$55</f>
        <v>0.19092613691165122</v>
      </c>
      <c r="Z11" s="4"/>
      <c r="AC11" s="4"/>
      <c r="AG11" s="4"/>
      <c r="AH11" s="2"/>
    </row>
    <row r="12" spans="1:34">
      <c r="B12" t="s">
        <v>10</v>
      </c>
      <c r="C12">
        <v>110.14</v>
      </c>
      <c r="D12">
        <v>106.74</v>
      </c>
      <c r="H12">
        <v>0</v>
      </c>
      <c r="I12" s="2"/>
      <c r="J12" s="2"/>
      <c r="K12" s="2"/>
      <c r="L12" s="2"/>
      <c r="M12">
        <v>0</v>
      </c>
      <c r="N12" s="4"/>
      <c r="O12" s="4"/>
      <c r="Q12" s="2">
        <v>2.12E-2</v>
      </c>
      <c r="R12" s="2">
        <v>2.1909000000000001</v>
      </c>
      <c r="S12" s="3">
        <v>1445850</v>
      </c>
      <c r="T12" s="4">
        <f>S12/$C$55</f>
        <v>4.35791015625E-2</v>
      </c>
      <c r="U12" s="4"/>
      <c r="V12" s="2">
        <v>-1.1100000000000001</v>
      </c>
      <c r="W12" s="2">
        <v>15.508900000000001</v>
      </c>
      <c r="X12" s="3">
        <v>5442304</v>
      </c>
      <c r="Y12" s="4">
        <f>X12/$C$55</f>
        <v>0.16403549382716048</v>
      </c>
      <c r="Z12" s="4"/>
      <c r="AC12" s="4"/>
      <c r="AG12" s="4"/>
      <c r="AH12" s="2"/>
    </row>
    <row r="13" spans="1:34">
      <c r="B13" t="s">
        <v>11</v>
      </c>
      <c r="C13">
        <v>110.33</v>
      </c>
      <c r="D13">
        <v>107.63</v>
      </c>
      <c r="H13">
        <v>0</v>
      </c>
      <c r="I13" s="2"/>
      <c r="J13" s="2"/>
      <c r="K13" s="2"/>
      <c r="L13" s="2"/>
      <c r="M13">
        <v>0</v>
      </c>
      <c r="N13" s="4"/>
      <c r="O13" s="4"/>
      <c r="Q13" s="2">
        <v>1.8599999999999998E-2</v>
      </c>
      <c r="R13" s="2">
        <v>2.1419999999999999</v>
      </c>
      <c r="S13" s="3">
        <v>1540455</v>
      </c>
      <c r="T13" s="4">
        <f>S13/$C$55</f>
        <v>4.6430573640046297E-2</v>
      </c>
      <c r="U13" s="4"/>
      <c r="V13" s="2">
        <v>-1.1599999999999999</v>
      </c>
      <c r="W13" s="2">
        <v>16.130199999999999</v>
      </c>
      <c r="X13" s="3">
        <v>5311805</v>
      </c>
      <c r="Y13" s="4">
        <f>X13/$C$55</f>
        <v>0.16010214723186728</v>
      </c>
      <c r="Z13" s="4"/>
      <c r="AC13" s="4"/>
      <c r="AG13" s="4"/>
      <c r="AH13" s="2"/>
    </row>
    <row r="14" spans="1:34">
      <c r="B14" t="s">
        <v>12</v>
      </c>
      <c r="C14">
        <v>133.47</v>
      </c>
      <c r="D14">
        <v>111.14</v>
      </c>
      <c r="H14">
        <v>0</v>
      </c>
      <c r="I14" s="2"/>
      <c r="J14" s="2"/>
      <c r="K14" s="2">
        <v>5.9999999999999995E-4</v>
      </c>
      <c r="L14" s="2">
        <v>0.3604</v>
      </c>
      <c r="M14" s="3">
        <f>(1073231)</f>
        <v>1073231</v>
      </c>
      <c r="N14" s="4">
        <f>(M14/$C$54)</f>
        <v>2.2373298077436227E-2</v>
      </c>
      <c r="O14" s="4">
        <f>(N14/$C$54)</f>
        <v>4.6640887829536379E-10</v>
      </c>
      <c r="Q14" s="2">
        <v>5.2900000000000003E-2</v>
      </c>
      <c r="R14" s="2">
        <v>3.3856000000000002</v>
      </c>
      <c r="S14" s="3">
        <f>(6389006)</f>
        <v>6389006</v>
      </c>
      <c r="T14" s="4">
        <f>(S14/$C$54)</f>
        <v>0.13318953296776603</v>
      </c>
      <c r="U14" s="4"/>
      <c r="V14" s="2">
        <v>-1.0912999999999999</v>
      </c>
      <c r="W14" s="2">
        <v>15.491899999999999</v>
      </c>
      <c r="X14" s="3">
        <v>11906399</v>
      </c>
      <c r="Y14" s="4">
        <f>(X14/$C$54)</f>
        <v>0.24820883281967127</v>
      </c>
      <c r="Z14" s="4"/>
      <c r="AB14" s="2">
        <v>9444</v>
      </c>
      <c r="AC14" s="4">
        <f>AB14/H54</f>
        <v>3.1500160102465578E-3</v>
      </c>
      <c r="AD14">
        <v>1.6999999999999999E-3</v>
      </c>
      <c r="AF14">
        <v>14772</v>
      </c>
      <c r="AG14" s="4">
        <f>AF14/H54</f>
        <v>4.9271533781620235E-3</v>
      </c>
      <c r="AH14" s="2">
        <v>0</v>
      </c>
    </row>
    <row r="15" spans="1:34">
      <c r="B15" t="s">
        <v>13</v>
      </c>
      <c r="C15">
        <v>127.72</v>
      </c>
      <c r="D15">
        <v>110.83</v>
      </c>
      <c r="H15">
        <v>0</v>
      </c>
      <c r="I15" s="2"/>
      <c r="J15" s="2"/>
      <c r="K15" s="2">
        <v>1E-3</v>
      </c>
      <c r="L15" s="2">
        <v>0.46139999999999998</v>
      </c>
      <c r="M15" s="3">
        <f>(1034689)</f>
        <v>1034689</v>
      </c>
      <c r="N15" s="4">
        <f>(M15/$C$54)</f>
        <v>2.15698255216672E-2</v>
      </c>
      <c r="O15" s="4">
        <f>(N15/$C$54)</f>
        <v>4.4965914688874212E-10</v>
      </c>
      <c r="Q15" s="2">
        <v>0.06</v>
      </c>
      <c r="R15" s="2">
        <v>3.5669</v>
      </c>
      <c r="S15" s="3">
        <f>(6115668)</f>
        <v>6115668</v>
      </c>
      <c r="T15" s="4">
        <f>(S15/$C$54)</f>
        <v>0.12749134446045468</v>
      </c>
      <c r="U15" s="4"/>
      <c r="V15" s="2">
        <v>-1.0116000000000001</v>
      </c>
      <c r="W15" s="2">
        <v>14.751099999999999</v>
      </c>
      <c r="X15" s="3">
        <v>11210836</v>
      </c>
      <c r="Y15" s="4">
        <f>(X15/$C$54)</f>
        <v>0.23370865687373252</v>
      </c>
      <c r="Z15" s="4"/>
      <c r="AB15" s="2">
        <v>9308</v>
      </c>
      <c r="AC15" s="4">
        <f>AB15/H54</f>
        <v>3.1046536449994664E-3</v>
      </c>
      <c r="AD15">
        <v>1.2999999999999999E-3</v>
      </c>
      <c r="AF15">
        <v>14925</v>
      </c>
      <c r="AG15" s="4">
        <f>AF15/H54</f>
        <v>4.978186039065002E-3</v>
      </c>
      <c r="AH15" s="2">
        <v>1E-4</v>
      </c>
    </row>
    <row r="16" spans="1:34">
      <c r="I16" s="2"/>
      <c r="J16" s="2"/>
      <c r="K16" s="2"/>
      <c r="L16" s="2"/>
      <c r="N16" s="4"/>
      <c r="O16" s="4"/>
      <c r="Q16" s="2"/>
      <c r="R16" s="2"/>
      <c r="S16" s="3"/>
      <c r="T16" s="4"/>
      <c r="U16" s="4"/>
      <c r="V16" s="2"/>
      <c r="W16" s="2"/>
      <c r="X16" s="3"/>
      <c r="Y16" s="4"/>
      <c r="Z16" s="4"/>
      <c r="AC16" s="4"/>
      <c r="AG16" s="4"/>
      <c r="AH16" s="2"/>
    </row>
    <row r="17" spans="1:34">
      <c r="A17" t="s">
        <v>3</v>
      </c>
      <c r="I17" s="2"/>
      <c r="J17" s="2"/>
      <c r="K17" s="2"/>
      <c r="L17" s="2"/>
      <c r="N17" s="4"/>
      <c r="O17" s="4"/>
      <c r="Q17" s="2"/>
      <c r="R17" s="2"/>
      <c r="S17" s="3"/>
      <c r="T17" s="4"/>
      <c r="U17" s="4"/>
      <c r="V17" s="2"/>
      <c r="W17" s="2"/>
      <c r="X17" s="3"/>
      <c r="Y17" s="4"/>
      <c r="Z17" s="4"/>
      <c r="AC17" s="4"/>
      <c r="AG17" s="4"/>
      <c r="AH17" s="2"/>
    </row>
    <row r="18" spans="1:34">
      <c r="A18" s="1"/>
      <c r="B18" s="1" t="s">
        <v>8</v>
      </c>
      <c r="C18">
        <v>127.84</v>
      </c>
      <c r="D18">
        <v>120.5</v>
      </c>
      <c r="H18">
        <v>0</v>
      </c>
      <c r="I18" s="2"/>
      <c r="J18" s="2"/>
      <c r="K18" s="2"/>
      <c r="L18" s="2"/>
      <c r="M18">
        <v>0</v>
      </c>
      <c r="N18" s="4"/>
      <c r="O18" s="4"/>
      <c r="Q18" s="2">
        <v>2.5999999999999999E-3</v>
      </c>
      <c r="R18" s="2">
        <v>0.80610000000000004</v>
      </c>
      <c r="S18" s="3">
        <v>174957</v>
      </c>
      <c r="T18" s="4">
        <f>S18/$C$55</f>
        <v>5.2733470775462961E-3</v>
      </c>
      <c r="U18" s="4"/>
      <c r="V18" s="2">
        <v>-0.68610000000000004</v>
      </c>
      <c r="W18" s="2">
        <v>12.9969</v>
      </c>
      <c r="X18" s="3">
        <v>2739674</v>
      </c>
      <c r="Y18" s="4">
        <f>X18/$C$55</f>
        <v>8.2576015142746914E-2</v>
      </c>
      <c r="Z18" s="4"/>
      <c r="AC18" s="4"/>
      <c r="AG18" s="4"/>
      <c r="AH18" s="2"/>
    </row>
    <row r="19" spans="1:34">
      <c r="A19" s="1"/>
      <c r="B19" s="1" t="s">
        <v>9</v>
      </c>
      <c r="C19">
        <v>131.88</v>
      </c>
      <c r="D19">
        <v>121.39</v>
      </c>
      <c r="H19">
        <v>0</v>
      </c>
      <c r="I19" s="2"/>
      <c r="J19" s="2"/>
      <c r="K19" s="2"/>
      <c r="L19" s="2"/>
      <c r="M19">
        <v>0</v>
      </c>
      <c r="N19" s="4"/>
      <c r="O19" s="4"/>
      <c r="Q19" s="2">
        <v>2.0000000000000001E-4</v>
      </c>
      <c r="R19" s="2">
        <v>0.2576</v>
      </c>
      <c r="S19" s="3">
        <v>208557</v>
      </c>
      <c r="T19" s="4">
        <f>S19/$C$55</f>
        <v>6.2860785590277777E-3</v>
      </c>
      <c r="U19" s="4"/>
      <c r="V19" s="2">
        <v>-0.69710000000000005</v>
      </c>
      <c r="W19" s="2">
        <v>13.020899999999999</v>
      </c>
      <c r="X19" s="3">
        <v>3088362</v>
      </c>
      <c r="Y19" s="4">
        <f>X19/$C$55</f>
        <v>9.3085756655092597E-2</v>
      </c>
      <c r="Z19" s="4"/>
      <c r="AC19" s="4"/>
      <c r="AG19" s="4"/>
      <c r="AH19" s="2"/>
    </row>
    <row r="20" spans="1:34">
      <c r="A20" s="1"/>
      <c r="B20" s="1" t="s">
        <v>10</v>
      </c>
      <c r="C20">
        <v>120.19</v>
      </c>
      <c r="D20">
        <v>116.59</v>
      </c>
      <c r="H20">
        <v>0</v>
      </c>
      <c r="I20" s="2"/>
      <c r="J20" s="2"/>
      <c r="K20" s="2"/>
      <c r="L20" s="2"/>
      <c r="M20">
        <v>0</v>
      </c>
      <c r="N20" s="4"/>
      <c r="O20" s="4"/>
      <c r="Q20" s="2">
        <v>4.0000000000000002E-4</v>
      </c>
      <c r="R20" s="2">
        <v>0.3276</v>
      </c>
      <c r="S20" s="3">
        <v>134955</v>
      </c>
      <c r="T20" s="4">
        <f>S20/$C$55</f>
        <v>4.0676540798611112E-3</v>
      </c>
      <c r="U20" s="4"/>
      <c r="V20" s="2">
        <v>-0.65349999999999997</v>
      </c>
      <c r="W20" s="2">
        <v>12.533099999999999</v>
      </c>
      <c r="X20" s="3">
        <v>2528204</v>
      </c>
      <c r="Y20" s="4">
        <f>X20/$C$55</f>
        <v>7.6202136381172833E-2</v>
      </c>
      <c r="Z20" s="4"/>
      <c r="AC20" s="4"/>
      <c r="AG20" s="4"/>
      <c r="AH20" s="2"/>
    </row>
    <row r="21" spans="1:34">
      <c r="A21" s="1"/>
      <c r="B21" s="1" t="s">
        <v>11</v>
      </c>
      <c r="C21">
        <v>120.52</v>
      </c>
      <c r="D21">
        <v>117.45</v>
      </c>
      <c r="H21">
        <v>0</v>
      </c>
      <c r="I21" s="2"/>
      <c r="J21" s="2"/>
      <c r="K21" s="2"/>
      <c r="L21" s="2"/>
      <c r="M21">
        <v>0</v>
      </c>
      <c r="N21" s="4"/>
      <c r="O21" s="4"/>
      <c r="Q21" s="2">
        <v>4.0000000000000002E-4</v>
      </c>
      <c r="R21" s="2">
        <v>0.32469999999999999</v>
      </c>
      <c r="S21" s="3">
        <v>160491</v>
      </c>
      <c r="T21" s="4">
        <f>S21/$C$55</f>
        <v>4.8373300057870374E-3</v>
      </c>
      <c r="U21" s="4"/>
      <c r="V21" s="2">
        <v>-0.67779999999999996</v>
      </c>
      <c r="W21" s="2">
        <v>12.9322</v>
      </c>
      <c r="X21" s="3">
        <v>2256279</v>
      </c>
      <c r="Y21" s="4">
        <f>X21/$C$55</f>
        <v>6.800609447337963E-2</v>
      </c>
      <c r="Z21" s="4"/>
      <c r="AC21" s="4"/>
      <c r="AG21" s="4"/>
      <c r="AH21" s="2"/>
    </row>
    <row r="22" spans="1:34">
      <c r="A22" s="1"/>
      <c r="B22" s="1" t="s">
        <v>12</v>
      </c>
      <c r="C22">
        <v>143.63</v>
      </c>
      <c r="D22">
        <v>118.85</v>
      </c>
      <c r="H22">
        <v>0</v>
      </c>
      <c r="I22" s="2"/>
      <c r="J22" s="2"/>
      <c r="K22" s="2">
        <v>0</v>
      </c>
      <c r="L22" s="2">
        <v>3.8300000000000001E-2</v>
      </c>
      <c r="M22" s="3">
        <f>(310889)</f>
        <v>310889</v>
      </c>
      <c r="N22" s="4">
        <f>(M22/$C$54)</f>
        <v>6.481002007951756E-3</v>
      </c>
      <c r="O22" s="4">
        <f>(N22/$C$54)</f>
        <v>1.3510734386573567E-10</v>
      </c>
      <c r="Q22" s="2">
        <v>1.6500000000000001E-2</v>
      </c>
      <c r="R22" s="2">
        <v>1.9012</v>
      </c>
      <c r="S22" s="3">
        <f>(4125286)</f>
        <v>4125286</v>
      </c>
      <c r="T22" s="4">
        <f>(S22/$C$54)</f>
        <v>8.5998497371651189E-2</v>
      </c>
      <c r="U22" s="4"/>
      <c r="V22" s="2">
        <v>-0.56630000000000003</v>
      </c>
      <c r="W22" s="2">
        <v>11.3415</v>
      </c>
      <c r="X22" s="3">
        <v>7402709</v>
      </c>
      <c r="Y22" s="4">
        <f>(X22/$C$54)</f>
        <v>0.15432187016357135</v>
      </c>
      <c r="Z22" s="4"/>
      <c r="AB22" s="2">
        <v>2048</v>
      </c>
      <c r="AC22" s="4">
        <f>AB22/H54</f>
        <v>6.8310385313267161E-4</v>
      </c>
      <c r="AD22">
        <v>4.0000000000000002E-4</v>
      </c>
      <c r="AF22">
        <v>3385</v>
      </c>
      <c r="AG22" s="4">
        <f>AF22/H54</f>
        <v>1.1290559291279752E-3</v>
      </c>
      <c r="AH22" s="2">
        <v>0</v>
      </c>
    </row>
    <row r="23" spans="1:34">
      <c r="A23" s="1"/>
      <c r="B23" s="1" t="s">
        <v>13</v>
      </c>
      <c r="C23">
        <v>137.34</v>
      </c>
      <c r="D23">
        <v>118.66</v>
      </c>
      <c r="H23">
        <v>0</v>
      </c>
      <c r="I23" s="2"/>
      <c r="J23" s="2"/>
      <c r="K23" s="2">
        <v>0</v>
      </c>
      <c r="L23" s="2">
        <v>3.7600000000000001E-2</v>
      </c>
      <c r="M23" s="3">
        <f>(292330)</f>
        <v>292330</v>
      </c>
      <c r="N23" s="4">
        <f>(M23/$C$54)</f>
        <v>6.0941085628135336E-3</v>
      </c>
      <c r="O23" s="4">
        <f>(N23/$C$54)</f>
        <v>1.270419018758158E-10</v>
      </c>
      <c r="Q23" s="2">
        <v>2.1399999999999999E-2</v>
      </c>
      <c r="R23" s="2">
        <v>2.1524999999999999</v>
      </c>
      <c r="S23" s="3">
        <f>(3922988)</f>
        <v>3922988</v>
      </c>
      <c r="T23" s="4">
        <f>(S23/$C$54)</f>
        <v>8.1781256670936067E-2</v>
      </c>
      <c r="U23" s="4"/>
      <c r="V23" s="2">
        <v>-0.52190000000000003</v>
      </c>
      <c r="W23" s="2">
        <v>10.763999999999999</v>
      </c>
      <c r="X23" s="3">
        <v>6924628</v>
      </c>
      <c r="Y23" s="4">
        <f>(X23/$C$54)</f>
        <v>0.14435547083466752</v>
      </c>
      <c r="Z23" s="4"/>
      <c r="AB23">
        <v>2045</v>
      </c>
      <c r="AC23" s="4">
        <f>AB23/H54</f>
        <v>6.821032127228093E-4</v>
      </c>
      <c r="AD23">
        <v>4.0000000000000002E-4</v>
      </c>
      <c r="AF23">
        <v>3265</v>
      </c>
      <c r="AG23" s="4">
        <f>AF23/H54</f>
        <v>1.0890303127334827E-3</v>
      </c>
      <c r="AH23" s="2">
        <v>0</v>
      </c>
    </row>
    <row r="24" spans="1:34">
      <c r="A24" t="s">
        <v>4</v>
      </c>
      <c r="I24" s="2"/>
      <c r="J24" s="2"/>
      <c r="K24" s="2"/>
      <c r="L24" s="2"/>
      <c r="N24" s="4"/>
      <c r="O24" s="4"/>
      <c r="Q24" s="2"/>
      <c r="R24" s="2"/>
      <c r="S24" s="3"/>
      <c r="T24" s="4"/>
      <c r="U24" s="4"/>
      <c r="V24" s="2"/>
      <c r="W24" s="2"/>
      <c r="X24" s="3"/>
      <c r="Y24" s="4"/>
      <c r="Z24" s="4"/>
      <c r="AC24" s="4"/>
      <c r="AG24" s="4"/>
      <c r="AH24" s="2"/>
    </row>
    <row r="25" spans="1:34">
      <c r="A25" s="1"/>
      <c r="B25" s="1" t="s">
        <v>8</v>
      </c>
      <c r="C25">
        <v>103.2</v>
      </c>
      <c r="D25">
        <v>102.65</v>
      </c>
      <c r="H25">
        <v>0</v>
      </c>
      <c r="I25" s="2"/>
      <c r="J25" s="2"/>
      <c r="K25" s="2"/>
      <c r="L25" s="2"/>
      <c r="M25">
        <v>0</v>
      </c>
      <c r="N25" s="4"/>
      <c r="O25" s="4"/>
      <c r="Q25" s="2"/>
      <c r="R25" s="2"/>
      <c r="S25" s="3">
        <v>0</v>
      </c>
      <c r="T25" s="4"/>
      <c r="U25" s="4"/>
      <c r="V25" s="2"/>
      <c r="W25" s="2"/>
      <c r="X25" s="3">
        <v>0</v>
      </c>
      <c r="Y25" s="4"/>
      <c r="Z25" s="4"/>
      <c r="AC25" s="4"/>
      <c r="AG25" s="4"/>
      <c r="AH25" s="2"/>
    </row>
    <row r="26" spans="1:34">
      <c r="A26" s="1"/>
      <c r="B26" s="1" t="s">
        <v>9</v>
      </c>
      <c r="C26">
        <v>106.45</v>
      </c>
      <c r="D26">
        <v>103.87</v>
      </c>
      <c r="H26">
        <v>0</v>
      </c>
      <c r="I26" s="2"/>
      <c r="J26" s="2"/>
      <c r="K26" s="2"/>
      <c r="L26" s="2"/>
      <c r="M26">
        <v>0</v>
      </c>
      <c r="N26" s="4"/>
      <c r="O26" s="4"/>
      <c r="Q26" s="2"/>
      <c r="R26" s="2"/>
      <c r="S26" s="3">
        <v>0</v>
      </c>
      <c r="T26" s="4"/>
      <c r="U26" s="4"/>
      <c r="V26" s="2"/>
      <c r="W26" s="2"/>
      <c r="X26" s="3">
        <v>0</v>
      </c>
      <c r="Y26" s="4"/>
      <c r="Z26" s="4"/>
      <c r="AC26" s="4"/>
      <c r="AG26" s="4"/>
      <c r="AH26" s="2"/>
    </row>
    <row r="27" spans="1:34">
      <c r="A27" s="1"/>
      <c r="B27" s="1" t="s">
        <v>10</v>
      </c>
      <c r="C27">
        <v>90.82</v>
      </c>
      <c r="D27">
        <v>92.72</v>
      </c>
      <c r="H27">
        <v>0</v>
      </c>
      <c r="I27" s="2"/>
      <c r="J27" s="2"/>
      <c r="K27" s="2"/>
      <c r="L27" s="2"/>
      <c r="M27">
        <v>0</v>
      </c>
      <c r="N27" s="4"/>
      <c r="O27" s="4"/>
      <c r="Q27" s="2"/>
      <c r="R27" s="2"/>
      <c r="S27" s="3">
        <v>0</v>
      </c>
      <c r="T27" s="4"/>
      <c r="U27" s="4"/>
      <c r="V27" s="2"/>
      <c r="W27" s="2"/>
      <c r="X27" s="3">
        <v>0</v>
      </c>
      <c r="Y27" s="4"/>
      <c r="Z27" s="4"/>
      <c r="AC27" s="4"/>
      <c r="AG27" s="4"/>
      <c r="AH27" s="2"/>
    </row>
    <row r="28" spans="1:34">
      <c r="A28" s="1"/>
      <c r="B28" s="1" t="s">
        <v>11</v>
      </c>
      <c r="C28">
        <v>90.93</v>
      </c>
      <c r="D28">
        <v>93.49</v>
      </c>
      <c r="H28">
        <v>0</v>
      </c>
      <c r="I28" s="2"/>
      <c r="J28" s="2"/>
      <c r="K28" s="2"/>
      <c r="L28" s="2"/>
      <c r="M28">
        <v>0</v>
      </c>
      <c r="N28" s="4"/>
      <c r="O28" s="4"/>
      <c r="Q28" s="2"/>
      <c r="R28" s="2"/>
      <c r="S28" s="3">
        <v>0</v>
      </c>
      <c r="T28" s="4"/>
      <c r="U28" s="4"/>
      <c r="V28" s="2"/>
      <c r="W28" s="2"/>
      <c r="X28" s="3">
        <v>0</v>
      </c>
      <c r="Y28" s="4"/>
      <c r="Z28" s="4"/>
      <c r="AC28" s="4"/>
      <c r="AG28" s="4"/>
      <c r="AH28" s="2"/>
    </row>
    <row r="29" spans="1:34">
      <c r="A29" s="1"/>
      <c r="B29" s="1" t="s">
        <v>12</v>
      </c>
      <c r="C29">
        <v>111.44</v>
      </c>
      <c r="D29">
        <v>99.17</v>
      </c>
      <c r="H29">
        <v>0</v>
      </c>
      <c r="I29" s="2"/>
      <c r="J29" s="2"/>
      <c r="K29" s="2"/>
      <c r="L29" s="2"/>
      <c r="M29">
        <v>0</v>
      </c>
      <c r="N29" s="4"/>
      <c r="O29" s="4"/>
      <c r="Q29" s="2">
        <v>1E-4</v>
      </c>
      <c r="R29" s="2">
        <v>0.1406</v>
      </c>
      <c r="S29" s="3">
        <f>(150216)</f>
        <v>150216</v>
      </c>
      <c r="T29" s="4">
        <f>(S29/$C$54)</f>
        <v>3.1315041626641051E-3</v>
      </c>
      <c r="U29" s="4"/>
      <c r="V29" s="2">
        <v>-1.78E-2</v>
      </c>
      <c r="W29" s="2">
        <v>1.8091999999999999</v>
      </c>
      <c r="X29" s="3">
        <v>1085481</v>
      </c>
      <c r="Y29" s="4">
        <f>(X29/$C$54)</f>
        <v>2.2628669848703171E-2</v>
      </c>
      <c r="Z29" s="4"/>
      <c r="AB29" s="2">
        <v>1281</v>
      </c>
      <c r="AC29" s="4">
        <f>AB29/H54</f>
        <v>4.2727345501120719E-4</v>
      </c>
      <c r="AD29">
        <v>5.0000000000000001E-4</v>
      </c>
      <c r="AF29">
        <v>1908</v>
      </c>
      <c r="AG29" s="4">
        <f>AF29/H54</f>
        <v>6.3640730067243039E-4</v>
      </c>
      <c r="AH29" s="2">
        <v>2.9999999999999997E-4</v>
      </c>
    </row>
    <row r="30" spans="1:34">
      <c r="A30" s="1"/>
      <c r="B30" s="1" t="s">
        <v>13</v>
      </c>
      <c r="C30">
        <v>106.79</v>
      </c>
      <c r="D30">
        <v>98.48</v>
      </c>
      <c r="H30">
        <v>0</v>
      </c>
      <c r="I30" s="2"/>
      <c r="J30" s="2"/>
      <c r="K30" s="2"/>
      <c r="L30" s="2"/>
      <c r="M30">
        <v>0</v>
      </c>
      <c r="Q30" s="2">
        <v>1E-4</v>
      </c>
      <c r="R30" s="2">
        <v>0.1211</v>
      </c>
      <c r="S30" s="3">
        <f>(141437)</f>
        <v>141437</v>
      </c>
      <c r="T30" s="4">
        <f>(S30/$C$54)</f>
        <v>2.9484912010353291E-3</v>
      </c>
      <c r="U30" s="4"/>
      <c r="V30" s="2">
        <v>-1.84E-2</v>
      </c>
      <c r="W30" s="2">
        <v>1.8132999999999999</v>
      </c>
      <c r="X30" s="3">
        <v>995396</v>
      </c>
      <c r="Y30" s="4">
        <f>(X30/$C$54)</f>
        <v>2.0750697112818871E-2</v>
      </c>
      <c r="Z30" s="4"/>
      <c r="AB30" s="2">
        <v>1307</v>
      </c>
      <c r="AC30" s="4">
        <f>AB30/H54</f>
        <v>4.3594567189668052E-4</v>
      </c>
      <c r="AD30">
        <v>5.0000000000000001E-4</v>
      </c>
      <c r="AF30">
        <v>1871</v>
      </c>
      <c r="AG30" s="4">
        <f>AF30/H54</f>
        <v>6.2406606895079521E-4</v>
      </c>
      <c r="AH30" s="2">
        <v>5.0000000000000001E-4</v>
      </c>
    </row>
    <row r="31" spans="1:34">
      <c r="A31" t="s">
        <v>5</v>
      </c>
      <c r="I31" s="2"/>
      <c r="J31" s="2"/>
      <c r="K31" s="2"/>
      <c r="L31" s="2"/>
      <c r="Q31" s="2"/>
      <c r="R31" s="2"/>
      <c r="S31" s="3"/>
      <c r="T31" s="4"/>
      <c r="U31" s="4"/>
      <c r="V31" s="2"/>
      <c r="W31" s="2"/>
      <c r="X31" s="3"/>
      <c r="Y31" s="4"/>
      <c r="Z31" s="4"/>
      <c r="AC31" s="4"/>
      <c r="AG31" s="4"/>
      <c r="AH31" s="2"/>
    </row>
    <row r="32" spans="1:34">
      <c r="A32" s="1"/>
      <c r="B32" s="1" t="s">
        <v>8</v>
      </c>
      <c r="C32">
        <v>120.76</v>
      </c>
      <c r="D32">
        <v>115.83</v>
      </c>
      <c r="H32">
        <v>0</v>
      </c>
      <c r="I32" s="2"/>
      <c r="J32" s="2"/>
      <c r="K32" s="2"/>
      <c r="L32" s="2"/>
      <c r="M32">
        <v>0</v>
      </c>
      <c r="Q32" s="2"/>
      <c r="R32" s="2"/>
      <c r="S32" s="3">
        <v>0</v>
      </c>
      <c r="T32" s="4"/>
      <c r="U32" s="4"/>
      <c r="V32" s="2"/>
      <c r="W32" s="2"/>
      <c r="X32" s="3">
        <v>0</v>
      </c>
      <c r="Y32" s="4"/>
      <c r="Z32" s="4"/>
      <c r="AC32" s="4"/>
      <c r="AG32" s="4"/>
      <c r="AH32" s="2"/>
    </row>
    <row r="33" spans="1:34">
      <c r="A33" s="1"/>
      <c r="B33" s="1" t="s">
        <v>9</v>
      </c>
      <c r="C33">
        <v>124.88</v>
      </c>
      <c r="D33">
        <v>117.03</v>
      </c>
      <c r="H33">
        <v>0</v>
      </c>
      <c r="I33" s="2"/>
      <c r="J33" s="2"/>
      <c r="K33" s="2"/>
      <c r="L33" s="2"/>
      <c r="M33">
        <v>0</v>
      </c>
      <c r="Q33" s="2"/>
      <c r="R33" s="2"/>
      <c r="S33" s="3">
        <v>0</v>
      </c>
      <c r="T33" s="4"/>
      <c r="U33" s="4"/>
      <c r="V33" s="2"/>
      <c r="W33" s="2"/>
      <c r="X33" s="3">
        <v>0</v>
      </c>
      <c r="Y33" s="4"/>
      <c r="Z33" s="4"/>
      <c r="AC33" s="4"/>
      <c r="AG33" s="4"/>
      <c r="AH33" s="2"/>
    </row>
    <row r="34" spans="1:34">
      <c r="A34" s="1"/>
      <c r="B34" s="1" t="s">
        <v>10</v>
      </c>
      <c r="C34">
        <v>114.86</v>
      </c>
      <c r="D34">
        <v>112.8</v>
      </c>
      <c r="H34">
        <v>0</v>
      </c>
      <c r="I34" s="2"/>
      <c r="J34" s="2"/>
      <c r="K34" s="2"/>
      <c r="L34" s="2"/>
      <c r="M34">
        <v>0</v>
      </c>
      <c r="Q34" s="2"/>
      <c r="R34" s="2"/>
      <c r="S34" s="3">
        <v>0</v>
      </c>
      <c r="T34" s="4"/>
      <c r="U34" s="4"/>
      <c r="V34" s="2"/>
      <c r="W34" s="2"/>
      <c r="X34" s="3">
        <v>0</v>
      </c>
      <c r="Y34" s="4"/>
      <c r="Z34" s="4"/>
      <c r="AC34" s="4"/>
      <c r="AG34" s="4"/>
      <c r="AH34" s="2"/>
    </row>
    <row r="35" spans="1:34">
      <c r="A35" s="1"/>
      <c r="B35" s="1" t="s">
        <v>11</v>
      </c>
      <c r="C35">
        <v>114.92</v>
      </c>
      <c r="D35">
        <v>113.28</v>
      </c>
      <c r="H35">
        <v>0</v>
      </c>
      <c r="I35" s="2"/>
      <c r="J35" s="2"/>
      <c r="K35" s="2"/>
      <c r="L35" s="2"/>
      <c r="M35">
        <v>0</v>
      </c>
      <c r="Q35" s="2"/>
      <c r="R35" s="2"/>
      <c r="S35" s="3">
        <v>0</v>
      </c>
      <c r="T35" s="4"/>
      <c r="U35" s="4"/>
      <c r="V35" s="2"/>
      <c r="W35" s="2"/>
      <c r="X35" s="3">
        <v>0</v>
      </c>
      <c r="Y35" s="4"/>
      <c r="Z35" s="4"/>
      <c r="AC35" s="4"/>
      <c r="AG35" s="4"/>
      <c r="AH35" s="2"/>
    </row>
    <row r="36" spans="1:34">
      <c r="A36" s="1"/>
      <c r="B36" s="1" t="s">
        <v>12</v>
      </c>
      <c r="C36">
        <v>136.37</v>
      </c>
      <c r="D36">
        <v>114.87</v>
      </c>
      <c r="H36">
        <v>0</v>
      </c>
      <c r="I36" s="2"/>
      <c r="J36" s="2"/>
      <c r="K36" s="2"/>
      <c r="L36" s="2"/>
      <c r="M36">
        <v>0</v>
      </c>
      <c r="Q36" s="2">
        <v>1E-4</v>
      </c>
      <c r="R36" s="2">
        <v>0.15160000000000001</v>
      </c>
      <c r="S36" s="3">
        <f>(112888)</f>
        <v>112888</v>
      </c>
      <c r="T36" s="4">
        <f>(S36/$C$54)</f>
        <v>2.3533394705945137E-3</v>
      </c>
      <c r="U36" s="4"/>
      <c r="V36" s="2">
        <v>-2.29E-2</v>
      </c>
      <c r="W36" s="2">
        <v>2.2204999999999999</v>
      </c>
      <c r="X36" s="3">
        <v>856640</v>
      </c>
      <c r="Y36" s="4">
        <f>(X36/$C$54)</f>
        <v>1.7858095848009393E-2</v>
      </c>
      <c r="Z36" s="4"/>
      <c r="AB36" s="2">
        <v>1351</v>
      </c>
      <c r="AC36" s="4">
        <f>AB36/H54</f>
        <v>4.5062173124132781E-4</v>
      </c>
      <c r="AD36">
        <v>5.0000000000000001E-4</v>
      </c>
      <c r="AF36">
        <v>2068</v>
      </c>
      <c r="AG36" s="4">
        <f>AF36/H54</f>
        <v>6.8977478919842036E-4</v>
      </c>
      <c r="AH36" s="2">
        <v>2.9999999999999997E-4</v>
      </c>
    </row>
    <row r="37" spans="1:34">
      <c r="A37" s="1"/>
      <c r="B37" s="1" t="s">
        <v>13</v>
      </c>
      <c r="C37">
        <v>130.52000000000001</v>
      </c>
      <c r="D37">
        <v>114.58</v>
      </c>
      <c r="H37">
        <v>0</v>
      </c>
      <c r="I37" s="2"/>
      <c r="J37" s="2"/>
      <c r="K37" s="2"/>
      <c r="L37" s="2"/>
      <c r="M37">
        <v>0</v>
      </c>
      <c r="Q37" s="2">
        <v>1E-4</v>
      </c>
      <c r="R37" s="2">
        <v>0.14050000000000001</v>
      </c>
      <c r="S37" s="3">
        <f>(105767)</f>
        <v>105767</v>
      </c>
      <c r="T37" s="4">
        <f>(S37/$C$54)</f>
        <v>2.2048902964563986E-3</v>
      </c>
      <c r="U37" s="4"/>
      <c r="V37" s="2">
        <v>-2.46E-2</v>
      </c>
      <c r="W37" s="2">
        <v>2.2942999999999998</v>
      </c>
      <c r="X37" s="3">
        <v>773922</v>
      </c>
      <c r="Y37" s="4">
        <f>(X37/$C$54)</f>
        <v>1.6133700568363753E-2</v>
      </c>
      <c r="Z37" s="4"/>
      <c r="AB37" s="2">
        <v>1281</v>
      </c>
      <c r="AC37" s="4">
        <f>AB37/H54</f>
        <v>4.2727345501120719E-4</v>
      </c>
      <c r="AD37">
        <v>5.0000000000000001E-4</v>
      </c>
      <c r="AF37">
        <v>2032</v>
      </c>
      <c r="AG37" s="4">
        <f>AF37/H54</f>
        <v>6.7776710428007255E-4</v>
      </c>
      <c r="AH37" s="2">
        <v>5.9999999999999995E-4</v>
      </c>
    </row>
    <row r="38" spans="1:34">
      <c r="A38" t="s">
        <v>6</v>
      </c>
      <c r="I38" s="2"/>
      <c r="J38" s="2"/>
      <c r="K38" s="2"/>
      <c r="L38" s="2"/>
      <c r="Q38" s="2"/>
      <c r="R38" s="2"/>
      <c r="S38" s="3"/>
      <c r="T38" s="4"/>
      <c r="U38" s="4"/>
      <c r="V38" s="2"/>
      <c r="W38" s="2"/>
      <c r="X38" s="3"/>
      <c r="Y38" s="4"/>
      <c r="Z38" s="4"/>
      <c r="AC38" s="4"/>
      <c r="AG38" s="4"/>
      <c r="AH38" s="2"/>
    </row>
    <row r="39" spans="1:34">
      <c r="A39" s="1"/>
      <c r="B39" s="1" t="s">
        <v>8</v>
      </c>
      <c r="C39">
        <v>112.06</v>
      </c>
      <c r="D39">
        <v>115.11</v>
      </c>
      <c r="H39">
        <v>0</v>
      </c>
      <c r="I39" s="2"/>
      <c r="J39" s="2"/>
      <c r="K39" s="2"/>
      <c r="L39" s="2"/>
      <c r="M39">
        <v>0</v>
      </c>
      <c r="Q39" s="2"/>
      <c r="R39" s="2"/>
      <c r="S39" s="3">
        <v>0</v>
      </c>
      <c r="T39" s="4"/>
      <c r="U39" s="4"/>
      <c r="V39" s="2"/>
      <c r="W39" s="2"/>
      <c r="X39" s="3">
        <v>0</v>
      </c>
      <c r="Y39" s="4"/>
      <c r="Z39" s="4"/>
      <c r="AC39" s="4"/>
      <c r="AG39" s="4"/>
      <c r="AH39" s="2"/>
    </row>
    <row r="40" spans="1:34">
      <c r="A40" s="1"/>
      <c r="B40" s="1" t="s">
        <v>9</v>
      </c>
      <c r="C40">
        <v>116.12</v>
      </c>
      <c r="D40">
        <v>116.39</v>
      </c>
      <c r="H40">
        <v>0</v>
      </c>
      <c r="I40" s="2"/>
      <c r="J40" s="2"/>
      <c r="K40" s="2"/>
      <c r="L40" s="2"/>
      <c r="M40">
        <v>0</v>
      </c>
      <c r="Q40" s="2"/>
      <c r="R40" s="2"/>
      <c r="S40" s="3">
        <v>0</v>
      </c>
      <c r="T40" s="4"/>
      <c r="U40" s="4"/>
      <c r="V40" s="2"/>
      <c r="W40" s="2"/>
      <c r="X40" s="3">
        <v>0</v>
      </c>
      <c r="Y40" s="4"/>
      <c r="Z40" s="4"/>
      <c r="AC40" s="4"/>
      <c r="AG40" s="4"/>
      <c r="AH40" s="2"/>
    </row>
    <row r="41" spans="1:34">
      <c r="A41" s="1"/>
      <c r="B41" s="1" t="s">
        <v>10</v>
      </c>
      <c r="C41">
        <v>110.83</v>
      </c>
      <c r="D41">
        <v>116.74</v>
      </c>
      <c r="H41">
        <v>0</v>
      </c>
      <c r="I41" s="2"/>
      <c r="J41" s="2"/>
      <c r="K41" s="2"/>
      <c r="L41" s="2"/>
      <c r="M41">
        <v>0</v>
      </c>
      <c r="Q41" s="2"/>
      <c r="R41" s="2"/>
      <c r="S41" s="3">
        <v>0</v>
      </c>
      <c r="T41" s="4"/>
      <c r="U41" s="4"/>
      <c r="V41" s="2"/>
      <c r="W41" s="2"/>
      <c r="X41" s="3">
        <v>0</v>
      </c>
      <c r="Y41" s="4"/>
      <c r="Z41" s="4"/>
      <c r="AC41" s="4"/>
      <c r="AG41" s="4"/>
      <c r="AH41" s="2"/>
    </row>
    <row r="42" spans="1:34">
      <c r="A42" s="1"/>
      <c r="B42" s="1" t="s">
        <v>11</v>
      </c>
      <c r="C42">
        <v>111.3</v>
      </c>
      <c r="D42">
        <v>116.93</v>
      </c>
      <c r="H42">
        <v>0</v>
      </c>
      <c r="I42" s="2"/>
      <c r="J42" s="2"/>
      <c r="K42" s="2"/>
      <c r="L42" s="2"/>
      <c r="M42">
        <v>0</v>
      </c>
      <c r="Q42" s="2"/>
      <c r="R42" s="2"/>
      <c r="S42" s="3">
        <v>0</v>
      </c>
      <c r="T42" s="4"/>
      <c r="U42" s="4"/>
      <c r="V42" s="2"/>
      <c r="W42" s="2"/>
      <c r="X42" s="3">
        <v>0</v>
      </c>
      <c r="Y42" s="4"/>
      <c r="Z42" s="4"/>
      <c r="AC42" s="4"/>
      <c r="AG42" s="4"/>
      <c r="AH42" s="2"/>
    </row>
    <row r="43" spans="1:34">
      <c r="A43" s="1"/>
      <c r="B43" s="1" t="s">
        <v>12</v>
      </c>
      <c r="C43">
        <v>126.66</v>
      </c>
      <c r="D43">
        <v>118.95</v>
      </c>
      <c r="H43">
        <v>0</v>
      </c>
      <c r="I43" s="2"/>
      <c r="J43" s="2"/>
      <c r="K43" s="2"/>
      <c r="L43" s="2"/>
      <c r="M43">
        <v>0</v>
      </c>
      <c r="Q43" s="2"/>
      <c r="R43" s="2"/>
      <c r="S43" s="3">
        <v>0</v>
      </c>
      <c r="T43" s="4"/>
      <c r="U43" s="4"/>
      <c r="V43" s="2">
        <v>-1.4E-3</v>
      </c>
      <c r="W43" s="2">
        <v>0.54339999999999999</v>
      </c>
      <c r="X43" s="3">
        <v>182062</v>
      </c>
      <c r="Y43" s="4">
        <f>X43/C54</f>
        <v>3.7953873812573381E-3</v>
      </c>
      <c r="Z43" s="4"/>
      <c r="AB43" s="2">
        <v>2055</v>
      </c>
      <c r="AC43" s="4">
        <f>AB43/H54</f>
        <v>6.8543868075568361E-4</v>
      </c>
      <c r="AD43">
        <v>8.0000000000000004E-4</v>
      </c>
      <c r="AF43">
        <v>6146</v>
      </c>
      <c r="AG43" s="4">
        <f>AF43/H54</f>
        <v>2.0499786530045897E-3</v>
      </c>
      <c r="AH43" s="2">
        <v>1.6999999999999999E-3</v>
      </c>
    </row>
    <row r="44" spans="1:34">
      <c r="A44" s="1"/>
      <c r="B44" s="1" t="s">
        <v>13</v>
      </c>
      <c r="C44">
        <v>120.9</v>
      </c>
      <c r="D44">
        <v>118.46</v>
      </c>
      <c r="H44">
        <v>0</v>
      </c>
      <c r="I44" s="2"/>
      <c r="J44" s="2"/>
      <c r="K44" s="2"/>
      <c r="L44" s="2"/>
      <c r="M44">
        <v>0</v>
      </c>
      <c r="Q44" s="2"/>
      <c r="R44" s="2"/>
      <c r="S44" s="3">
        <v>0</v>
      </c>
      <c r="T44" s="4"/>
      <c r="U44" s="4"/>
      <c r="V44" s="2">
        <v>-1.8E-3</v>
      </c>
      <c r="W44" s="2">
        <v>0.60250000000000004</v>
      </c>
      <c r="X44" s="3">
        <v>180886</v>
      </c>
      <c r="Y44" s="4">
        <f>X44/C54</f>
        <v>3.7708716912157113E-3</v>
      </c>
      <c r="Z44" s="4"/>
      <c r="AB44" s="2">
        <v>2112</v>
      </c>
      <c r="AC44" s="4">
        <f>AB44/H54</f>
        <v>7.0445084854306754E-4</v>
      </c>
      <c r="AD44">
        <v>8.0000000000000004E-4</v>
      </c>
      <c r="AF44">
        <v>6178</v>
      </c>
      <c r="AG44" s="4">
        <f>AF44/H54</f>
        <v>2.0606521507097876E-3</v>
      </c>
      <c r="AH44" s="2">
        <v>1.6999999999999999E-3</v>
      </c>
    </row>
    <row r="45" spans="1:34">
      <c r="A45" t="s">
        <v>7</v>
      </c>
      <c r="I45" s="2"/>
      <c r="J45" s="2"/>
      <c r="K45" s="2"/>
      <c r="L45" s="2"/>
      <c r="Q45" s="2"/>
      <c r="R45" s="2"/>
      <c r="S45" s="3"/>
      <c r="T45" s="4"/>
      <c r="U45" s="4"/>
      <c r="V45" s="2"/>
      <c r="W45" s="2"/>
      <c r="X45" s="3"/>
      <c r="Y45" s="4"/>
      <c r="Z45" s="4"/>
      <c r="AC45" s="4"/>
      <c r="AG45" s="4"/>
      <c r="AH45" s="2"/>
    </row>
    <row r="46" spans="1:34">
      <c r="A46" s="1"/>
      <c r="B46" s="1" t="s">
        <v>8</v>
      </c>
      <c r="C46">
        <v>121.82</v>
      </c>
      <c r="D46">
        <v>124.35</v>
      </c>
      <c r="H46">
        <v>0</v>
      </c>
      <c r="I46" s="2"/>
      <c r="J46" s="2"/>
      <c r="K46" s="2"/>
      <c r="L46" s="2"/>
      <c r="M46">
        <v>0</v>
      </c>
      <c r="Q46" s="2"/>
      <c r="R46" s="2"/>
      <c r="S46" s="3">
        <v>0</v>
      </c>
      <c r="T46" s="4"/>
      <c r="U46" s="4"/>
      <c r="V46" s="2"/>
      <c r="W46" s="2"/>
      <c r="X46" s="3">
        <v>0</v>
      </c>
      <c r="Y46" s="4"/>
      <c r="Z46" s="4"/>
      <c r="AC46" s="4"/>
      <c r="AG46" s="4"/>
      <c r="AH46" s="2"/>
    </row>
    <row r="47" spans="1:34">
      <c r="A47" s="1"/>
      <c r="B47" s="1" t="s">
        <v>9</v>
      </c>
      <c r="C47">
        <v>126.42</v>
      </c>
      <c r="D47">
        <v>125.78</v>
      </c>
      <c r="H47">
        <v>0</v>
      </c>
      <c r="I47" s="2"/>
      <c r="J47" s="2"/>
      <c r="K47" s="2"/>
      <c r="L47" s="2"/>
      <c r="M47">
        <v>0</v>
      </c>
      <c r="Q47" s="2"/>
      <c r="R47" s="2"/>
      <c r="S47" s="3">
        <v>0</v>
      </c>
      <c r="T47" s="4"/>
      <c r="U47" s="4"/>
      <c r="V47" s="2"/>
      <c r="W47" s="2"/>
      <c r="X47" s="3">
        <v>0</v>
      </c>
      <c r="Y47" s="4"/>
      <c r="Z47" s="4"/>
      <c r="AC47" s="4"/>
      <c r="AG47" s="4"/>
      <c r="AH47" s="2"/>
    </row>
    <row r="48" spans="1:34">
      <c r="A48" s="1"/>
      <c r="B48" s="1" t="s">
        <v>10</v>
      </c>
      <c r="C48">
        <v>122.97</v>
      </c>
      <c r="D48">
        <v>128.24</v>
      </c>
      <c r="H48">
        <v>0</v>
      </c>
      <c r="I48" s="2"/>
      <c r="J48" s="2"/>
      <c r="K48" s="2"/>
      <c r="L48" s="2"/>
      <c r="M48">
        <v>0</v>
      </c>
      <c r="Q48" s="2"/>
      <c r="R48" s="2"/>
      <c r="S48" s="3">
        <v>0</v>
      </c>
      <c r="T48" s="4"/>
      <c r="U48" s="4"/>
      <c r="V48" s="2"/>
      <c r="W48" s="2"/>
      <c r="X48" s="3">
        <v>0</v>
      </c>
      <c r="Y48" s="4"/>
      <c r="Z48" s="4"/>
      <c r="AC48" s="4"/>
      <c r="AG48" s="4"/>
      <c r="AH48" s="2"/>
    </row>
    <row r="49" spans="1:34">
      <c r="A49" s="1"/>
      <c r="B49" s="1" t="s">
        <v>11</v>
      </c>
      <c r="C49">
        <v>123.63</v>
      </c>
      <c r="D49">
        <v>128.49</v>
      </c>
      <c r="H49">
        <v>0</v>
      </c>
      <c r="I49" s="2"/>
      <c r="J49" s="2"/>
      <c r="K49" s="2"/>
      <c r="L49" s="2"/>
      <c r="M49">
        <v>0</v>
      </c>
      <c r="Q49" s="2"/>
      <c r="R49" s="2"/>
      <c r="S49" s="3">
        <v>0</v>
      </c>
      <c r="T49" s="4"/>
      <c r="U49" s="4"/>
      <c r="V49" s="2"/>
      <c r="W49" s="2"/>
      <c r="X49" s="3">
        <v>0</v>
      </c>
      <c r="Y49" s="4"/>
      <c r="Z49" s="4"/>
      <c r="AC49" s="4"/>
      <c r="AG49" s="4"/>
      <c r="AH49" s="2"/>
    </row>
    <row r="50" spans="1:34">
      <c r="A50" s="1"/>
      <c r="B50" s="1" t="s">
        <v>12</v>
      </c>
      <c r="C50">
        <v>139.15</v>
      </c>
      <c r="D50">
        <v>129.30000000000001</v>
      </c>
      <c r="H50">
        <v>0</v>
      </c>
      <c r="I50" s="2"/>
      <c r="J50" s="2"/>
      <c r="K50" s="2"/>
      <c r="L50" s="2"/>
      <c r="M50">
        <v>0</v>
      </c>
      <c r="Q50" s="2"/>
      <c r="R50" s="2"/>
      <c r="S50" s="3">
        <v>0</v>
      </c>
      <c r="T50" s="4"/>
      <c r="U50" s="4"/>
      <c r="V50" s="2">
        <v>-1.6000000000000001E-3</v>
      </c>
      <c r="W50" s="2">
        <v>0.60970000000000002</v>
      </c>
      <c r="X50" s="3">
        <v>142289</v>
      </c>
      <c r="Y50" s="4">
        <f>X50/C54</f>
        <v>2.9662525683103852E-3</v>
      </c>
      <c r="Z50" s="4"/>
      <c r="AB50" s="2">
        <v>2041</v>
      </c>
      <c r="AC50" s="4">
        <f>AB50/H54</f>
        <v>6.807690255096595E-4</v>
      </c>
      <c r="AD50">
        <v>8.9999999999999998E-4</v>
      </c>
      <c r="AF50">
        <v>6055</v>
      </c>
      <c r="AG50" s="4">
        <f>AF50/H54</f>
        <v>2.0196258939054329E-3</v>
      </c>
      <c r="AH50" s="2">
        <v>1.8E-3</v>
      </c>
    </row>
    <row r="51" spans="1:34">
      <c r="A51" s="1"/>
      <c r="B51" s="1" t="s">
        <v>13</v>
      </c>
      <c r="C51">
        <v>132.65</v>
      </c>
      <c r="D51">
        <v>128.75</v>
      </c>
      <c r="H51">
        <v>0</v>
      </c>
      <c r="I51" s="2"/>
      <c r="J51" s="2"/>
      <c r="K51" s="2"/>
      <c r="L51" s="2"/>
      <c r="M51">
        <v>0</v>
      </c>
      <c r="Q51" s="2"/>
      <c r="R51" s="2"/>
      <c r="S51" s="3">
        <v>0</v>
      </c>
      <c r="T51" s="4"/>
      <c r="U51" s="4"/>
      <c r="V51" s="2">
        <v>-2.0999999999999999E-3</v>
      </c>
      <c r="W51" s="2">
        <v>0.6845</v>
      </c>
      <c r="X51" s="3">
        <v>123069</v>
      </c>
      <c r="Y51" s="4">
        <f>X51/C54</f>
        <v>2.5655794708613513E-3</v>
      </c>
      <c r="Z51" s="4"/>
      <c r="AB51" s="2">
        <v>2088</v>
      </c>
      <c r="AC51" s="4">
        <f>AB51/H54</f>
        <v>6.9644572526416911E-4</v>
      </c>
      <c r="AD51">
        <v>1E-3</v>
      </c>
      <c r="AF51">
        <v>6076</v>
      </c>
      <c r="AG51" s="4">
        <f>AF51/H54</f>
        <v>2.026630376774469E-3</v>
      </c>
      <c r="AH51" s="2">
        <v>2E-3</v>
      </c>
    </row>
    <row r="52" spans="1:34">
      <c r="AG52" s="4"/>
      <c r="AH52" s="2"/>
    </row>
    <row r="53" spans="1:34">
      <c r="AG53" s="4"/>
      <c r="AH53" s="2"/>
    </row>
    <row r="54" spans="1:34">
      <c r="C54">
        <v>47969280</v>
      </c>
      <c r="D54" t="s">
        <v>17</v>
      </c>
      <c r="H54">
        <f>C54/16</f>
        <v>2998080</v>
      </c>
      <c r="I54" t="s">
        <v>30</v>
      </c>
      <c r="AH54" s="3"/>
    </row>
    <row r="55" spans="1:34">
      <c r="C55">
        <v>33177600</v>
      </c>
      <c r="D55" t="s">
        <v>18</v>
      </c>
      <c r="H55">
        <f>C55/16</f>
        <v>2073600</v>
      </c>
      <c r="I55" t="s">
        <v>31</v>
      </c>
    </row>
  </sheetData>
  <phoneticPr fontId="4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55"/>
  <sheetViews>
    <sheetView workbookViewId="0">
      <selection activeCell="D2" sqref="D2"/>
    </sheetView>
  </sheetViews>
  <sheetFormatPr baseColWidth="10" defaultRowHeight="15" x14ac:dyDescent="0"/>
  <cols>
    <col min="6" max="6" width="12.1640625" bestFit="1" customWidth="1"/>
  </cols>
  <sheetData>
    <row r="1" spans="1:10" s="6" customFormat="1" ht="18">
      <c r="A1" s="6" t="s">
        <v>0</v>
      </c>
      <c r="D1" s="6" t="s">
        <v>21</v>
      </c>
      <c r="E1" s="6" t="s">
        <v>22</v>
      </c>
      <c r="F1" s="6" t="s">
        <v>19</v>
      </c>
      <c r="G1" s="6" t="s">
        <v>23</v>
      </c>
      <c r="I1" s="6" t="s">
        <v>19</v>
      </c>
      <c r="J1" s="6" t="s">
        <v>23</v>
      </c>
    </row>
    <row r="2" spans="1:10">
      <c r="A2" t="s">
        <v>1</v>
      </c>
      <c r="D2" t="s">
        <v>24</v>
      </c>
      <c r="G2" s="4"/>
      <c r="I2" t="s">
        <v>25</v>
      </c>
    </row>
    <row r="3" spans="1:10">
      <c r="B3" t="s">
        <v>8</v>
      </c>
      <c r="G3" s="4"/>
    </row>
    <row r="4" spans="1:10">
      <c r="B4" t="s">
        <v>9</v>
      </c>
      <c r="G4" s="4"/>
    </row>
    <row r="5" spans="1:10">
      <c r="B5" t="s">
        <v>10</v>
      </c>
      <c r="G5" s="4"/>
    </row>
    <row r="6" spans="1:10">
      <c r="B6" t="s">
        <v>11</v>
      </c>
      <c r="G6" s="4"/>
    </row>
    <row r="7" spans="1:10">
      <c r="B7" t="s">
        <v>12</v>
      </c>
      <c r="G7" s="4"/>
    </row>
    <row r="8" spans="1:10">
      <c r="B8" t="s">
        <v>13</v>
      </c>
      <c r="G8" s="4"/>
    </row>
    <row r="9" spans="1:10">
      <c r="A9" t="s">
        <v>2</v>
      </c>
      <c r="G9" s="4"/>
    </row>
    <row r="10" spans="1:10">
      <c r="B10" t="s">
        <v>8</v>
      </c>
      <c r="G10" s="4"/>
      <c r="J10" s="4"/>
    </row>
    <row r="11" spans="1:10">
      <c r="B11" t="s">
        <v>9</v>
      </c>
      <c r="G11" s="4"/>
      <c r="J11" s="4"/>
    </row>
    <row r="12" spans="1:10">
      <c r="B12" t="s">
        <v>10</v>
      </c>
      <c r="G12" s="4"/>
      <c r="J12" s="4"/>
    </row>
    <row r="13" spans="1:10">
      <c r="B13" t="s">
        <v>11</v>
      </c>
      <c r="G13" s="4"/>
      <c r="J13" s="4"/>
    </row>
    <row r="14" spans="1:10">
      <c r="B14" t="s">
        <v>12</v>
      </c>
      <c r="G14" s="4"/>
      <c r="J14" s="4"/>
    </row>
    <row r="15" spans="1:10">
      <c r="B15" t="s">
        <v>13</v>
      </c>
      <c r="G15" s="4"/>
      <c r="J15" s="4"/>
    </row>
    <row r="16" spans="1:10">
      <c r="G16" s="4"/>
      <c r="J16" s="4"/>
    </row>
    <row r="17" spans="1:10">
      <c r="A17" t="s">
        <v>3</v>
      </c>
      <c r="G17" s="4"/>
      <c r="J17" s="4"/>
    </row>
    <row r="18" spans="1:10">
      <c r="A18" s="1"/>
      <c r="B18" s="1" t="s">
        <v>8</v>
      </c>
      <c r="G18" s="4"/>
      <c r="J18" s="4"/>
    </row>
    <row r="19" spans="1:10">
      <c r="A19" s="1"/>
      <c r="B19" s="1" t="s">
        <v>9</v>
      </c>
      <c r="G19" s="4"/>
      <c r="J19" s="4"/>
    </row>
    <row r="20" spans="1:10">
      <c r="A20" s="1"/>
      <c r="B20" s="1" t="s">
        <v>10</v>
      </c>
      <c r="G20" s="4"/>
      <c r="J20" s="4"/>
    </row>
    <row r="21" spans="1:10">
      <c r="A21" s="1"/>
      <c r="B21" s="1" t="s">
        <v>11</v>
      </c>
      <c r="G21" s="4"/>
      <c r="J21" s="4"/>
    </row>
    <row r="22" spans="1:10">
      <c r="A22" s="1"/>
      <c r="B22" s="1" t="s">
        <v>12</v>
      </c>
      <c r="G22" s="4"/>
      <c r="J22" s="4"/>
    </row>
    <row r="23" spans="1:10">
      <c r="A23" s="1"/>
      <c r="B23" s="1" t="s">
        <v>13</v>
      </c>
      <c r="G23" s="4"/>
      <c r="J23" s="4"/>
    </row>
    <row r="24" spans="1:10">
      <c r="A24" t="s">
        <v>4</v>
      </c>
      <c r="G24" s="4"/>
      <c r="J24" s="4"/>
    </row>
    <row r="25" spans="1:10">
      <c r="A25" s="1"/>
      <c r="B25" s="1" t="s">
        <v>8</v>
      </c>
      <c r="D25">
        <v>2.9999999999999997E-4</v>
      </c>
      <c r="E25">
        <v>0.1991</v>
      </c>
      <c r="F25">
        <v>143978</v>
      </c>
      <c r="G25" s="4">
        <f>F25/$C$55</f>
        <v>4.3396146797839508E-3</v>
      </c>
      <c r="I25">
        <v>238860</v>
      </c>
      <c r="J25" s="4">
        <f>I25/$C$55</f>
        <v>7.1994357638888885E-3</v>
      </c>
    </row>
    <row r="26" spans="1:10">
      <c r="A26" s="1"/>
      <c r="B26" s="1" t="s">
        <v>9</v>
      </c>
      <c r="D26">
        <v>-8.9999999999999998E-4</v>
      </c>
      <c r="E26">
        <v>0.1762</v>
      </c>
      <c r="F26">
        <v>114990</v>
      </c>
      <c r="G26" s="4">
        <f>F26/$C$55</f>
        <v>3.4658926504629629E-3</v>
      </c>
      <c r="I26">
        <v>193564</v>
      </c>
      <c r="J26" s="4">
        <f>I26/$C$55</f>
        <v>5.8341772762345676E-3</v>
      </c>
    </row>
    <row r="27" spans="1:10">
      <c r="A27" s="1"/>
      <c r="B27" s="1" t="s">
        <v>10</v>
      </c>
      <c r="D27">
        <v>1.1000000000000001E-3</v>
      </c>
      <c r="E27">
        <v>0.17230000000000001</v>
      </c>
      <c r="F27">
        <v>105361</v>
      </c>
      <c r="G27" s="4">
        <f>F27/$C$55</f>
        <v>3.1756667148919752E-3</v>
      </c>
      <c r="I27">
        <v>177041</v>
      </c>
      <c r="J27" s="4">
        <f>I27/$C$55</f>
        <v>5.3361605420524693E-3</v>
      </c>
    </row>
    <row r="28" spans="1:10">
      <c r="A28" s="1"/>
      <c r="B28" s="1" t="s">
        <v>11</v>
      </c>
      <c r="D28">
        <v>-1E-3</v>
      </c>
      <c r="E28">
        <v>0.1946</v>
      </c>
      <c r="F28">
        <v>137409</v>
      </c>
      <c r="G28" s="4">
        <f>F28/$C$55</f>
        <v>4.1416196469907405E-3</v>
      </c>
      <c r="I28">
        <v>235710</v>
      </c>
      <c r="J28" s="4">
        <f>I28/$C$55</f>
        <v>7.1044921875000003E-3</v>
      </c>
    </row>
    <row r="29" spans="1:10">
      <c r="A29" s="1"/>
      <c r="B29" s="1" t="s">
        <v>12</v>
      </c>
      <c r="D29">
        <v>0</v>
      </c>
      <c r="E29">
        <v>0.17050000000000001</v>
      </c>
      <c r="F29">
        <v>36683</v>
      </c>
      <c r="G29" s="4">
        <f>(F29/$C$54)</f>
        <v>7.6471858656206634E-4</v>
      </c>
      <c r="I29">
        <v>59204</v>
      </c>
      <c r="J29" s="4">
        <f>(I29/$C$54)</f>
        <v>1.2342065588643399E-3</v>
      </c>
    </row>
    <row r="30" spans="1:10">
      <c r="A30" s="1"/>
      <c r="B30" s="1" t="s">
        <v>13</v>
      </c>
      <c r="D30">
        <v>-2.0000000000000001E-4</v>
      </c>
      <c r="E30">
        <v>7.1800000000000003E-2</v>
      </c>
      <c r="F30">
        <v>24802</v>
      </c>
      <c r="G30" s="4">
        <f>(F30/$C$54)</f>
        <v>5.1703923844593873E-4</v>
      </c>
      <c r="I30">
        <v>42729</v>
      </c>
      <c r="J30" s="4">
        <f>(I30/$C$54)</f>
        <v>8.9075758485430674E-4</v>
      </c>
    </row>
    <row r="31" spans="1:10">
      <c r="A31" t="s">
        <v>5</v>
      </c>
      <c r="G31" s="4"/>
      <c r="J31" s="4"/>
    </row>
    <row r="32" spans="1:10">
      <c r="A32" s="1"/>
      <c r="B32" s="1" t="s">
        <v>8</v>
      </c>
      <c r="D32">
        <v>-6.9999999999999999E-4</v>
      </c>
      <c r="E32">
        <v>0.19020000000000001</v>
      </c>
      <c r="F32">
        <v>144551</v>
      </c>
      <c r="G32" s="4">
        <f>F32/$C$55</f>
        <v>4.3568853684413577E-3</v>
      </c>
      <c r="I32">
        <v>245864</v>
      </c>
      <c r="J32" s="4">
        <f>I32/$C$55</f>
        <v>7.4105420524691358E-3</v>
      </c>
    </row>
    <row r="33" spans="1:10">
      <c r="A33" s="1"/>
      <c r="B33" s="1" t="s">
        <v>9</v>
      </c>
      <c r="D33">
        <v>2.0000000000000001E-4</v>
      </c>
      <c r="E33">
        <v>0.1716</v>
      </c>
      <c r="F33">
        <v>116166</v>
      </c>
      <c r="G33" s="4">
        <f>F33/$C$55</f>
        <v>3.501338252314815E-3</v>
      </c>
      <c r="I33">
        <v>202060</v>
      </c>
      <c r="J33" s="4">
        <f>I33/$C$55</f>
        <v>6.0902536651234566E-3</v>
      </c>
    </row>
    <row r="34" spans="1:10">
      <c r="A34" s="1"/>
      <c r="B34" s="1" t="s">
        <v>10</v>
      </c>
      <c r="D34">
        <v>-5.9999999999999995E-4</v>
      </c>
      <c r="E34">
        <v>0.1666</v>
      </c>
      <c r="F34">
        <v>110346</v>
      </c>
      <c r="G34" s="4">
        <f>F34/$C$55</f>
        <v>3.3259186921296298E-3</v>
      </c>
      <c r="I34">
        <v>185168</v>
      </c>
      <c r="J34" s="4">
        <f>I34/$C$55</f>
        <v>5.5811149691358027E-3</v>
      </c>
    </row>
    <row r="35" spans="1:10">
      <c r="A35" s="1"/>
      <c r="B35" s="1" t="s">
        <v>11</v>
      </c>
      <c r="D35">
        <v>-8.0000000000000004E-4</v>
      </c>
      <c r="E35">
        <v>0.1903</v>
      </c>
      <c r="F35">
        <v>140039</v>
      </c>
      <c r="G35" s="4">
        <f>F35/$C$55</f>
        <v>4.2208899980709881E-3</v>
      </c>
      <c r="I35">
        <v>243148</v>
      </c>
      <c r="J35" s="4">
        <f>I35/$C$55</f>
        <v>7.3286795910493824E-3</v>
      </c>
    </row>
    <row r="36" spans="1:10">
      <c r="A36" s="1"/>
      <c r="B36" s="1" t="s">
        <v>12</v>
      </c>
      <c r="G36" s="4"/>
      <c r="J36" s="4"/>
    </row>
    <row r="37" spans="1:10">
      <c r="A37" s="1"/>
      <c r="B37" s="1" t="s">
        <v>13</v>
      </c>
      <c r="G37" s="4"/>
      <c r="J37" s="4"/>
    </row>
    <row r="38" spans="1:10">
      <c r="A38" t="s">
        <v>6</v>
      </c>
      <c r="G38" s="4"/>
      <c r="J38" s="4"/>
    </row>
    <row r="39" spans="1:10">
      <c r="A39" s="1"/>
      <c r="B39" s="1" t="s">
        <v>8</v>
      </c>
      <c r="D39">
        <v>-1.1999999999999999E-3</v>
      </c>
      <c r="E39">
        <v>0.31459999999999999</v>
      </c>
      <c r="F39">
        <v>379646</v>
      </c>
      <c r="G39" s="4">
        <f>F39/$C$55</f>
        <v>1.1442840952932099E-2</v>
      </c>
      <c r="I39">
        <v>644630</v>
      </c>
      <c r="J39" s="4">
        <f>I39/$C$55</f>
        <v>1.9429675443672838E-2</v>
      </c>
    </row>
    <row r="40" spans="1:10">
      <c r="A40" s="1"/>
      <c r="B40" s="1" t="s">
        <v>9</v>
      </c>
      <c r="D40">
        <v>-2.2000000000000001E-3</v>
      </c>
      <c r="E40">
        <v>0.29759999999999998</v>
      </c>
      <c r="F40">
        <v>343815</v>
      </c>
      <c r="G40" s="4">
        <f>F40/$C$55</f>
        <v>1.0362865306712963E-2</v>
      </c>
      <c r="I40">
        <v>575056</v>
      </c>
      <c r="J40" s="4">
        <f>I40/$C$55</f>
        <v>1.7332658179012347E-2</v>
      </c>
    </row>
    <row r="41" spans="1:10">
      <c r="A41" s="1"/>
      <c r="B41" s="1" t="s">
        <v>10</v>
      </c>
      <c r="D41">
        <v>-1.2999999999999999E-3</v>
      </c>
      <c r="E41">
        <v>0.28749999999999998</v>
      </c>
      <c r="F41">
        <v>304397</v>
      </c>
      <c r="G41" s="4">
        <f>F41/$C$55</f>
        <v>9.174774546682099E-3</v>
      </c>
      <c r="I41">
        <v>519465</v>
      </c>
      <c r="J41" s="4">
        <f>I41/$C$55</f>
        <v>1.5657099971064816E-2</v>
      </c>
    </row>
    <row r="42" spans="1:10">
      <c r="A42" s="1"/>
      <c r="B42" s="1" t="s">
        <v>11</v>
      </c>
      <c r="D42">
        <v>-4.7999999999999996E-3</v>
      </c>
      <c r="E42">
        <v>0.30809999999999998</v>
      </c>
      <c r="F42">
        <v>355274</v>
      </c>
      <c r="G42" s="4">
        <f>F42/$C$55</f>
        <v>1.070824893904321E-2</v>
      </c>
      <c r="I42">
        <v>613261</v>
      </c>
      <c r="J42" s="4">
        <f>I42/$C$55</f>
        <v>1.8484188126929011E-2</v>
      </c>
    </row>
    <row r="43" spans="1:10">
      <c r="A43" s="1"/>
      <c r="B43" s="1" t="s">
        <v>12</v>
      </c>
      <c r="D43">
        <v>4.0000000000000002E-4</v>
      </c>
      <c r="E43">
        <v>0.217</v>
      </c>
      <c r="F43">
        <v>110568</v>
      </c>
      <c r="G43" s="4">
        <f>(F43/$C$54)</f>
        <v>2.3049751841178355E-3</v>
      </c>
      <c r="I43">
        <v>169687</v>
      </c>
      <c r="J43" s="4">
        <f>(I43/$C$54)</f>
        <v>3.5374097755897106E-3</v>
      </c>
    </row>
    <row r="44" spans="1:10">
      <c r="A44" s="1"/>
      <c r="B44" s="1" t="s">
        <v>13</v>
      </c>
      <c r="D44">
        <v>1E-4</v>
      </c>
      <c r="E44">
        <v>0.1221</v>
      </c>
      <c r="F44">
        <v>68770</v>
      </c>
      <c r="G44" s="4">
        <f>(F44/$C$54)</f>
        <v>1.4336258538798165E-3</v>
      </c>
      <c r="I44">
        <v>116101</v>
      </c>
      <c r="J44" s="4">
        <f>(I44/$C$54)</f>
        <v>2.4203198380296723E-3</v>
      </c>
    </row>
    <row r="45" spans="1:10">
      <c r="A45" t="s">
        <v>7</v>
      </c>
      <c r="G45" s="4"/>
      <c r="J45" s="4"/>
    </row>
    <row r="46" spans="1:10">
      <c r="A46" s="1"/>
      <c r="B46" s="1" t="s">
        <v>8</v>
      </c>
      <c r="D46">
        <v>-1.1999999999999999E-3</v>
      </c>
      <c r="E46">
        <v>0.31059999999999999</v>
      </c>
      <c r="F46">
        <v>383629</v>
      </c>
      <c r="G46" s="4">
        <f>F46/$C$55</f>
        <v>1.1562891830632716E-2</v>
      </c>
      <c r="I46">
        <v>645081</v>
      </c>
      <c r="J46" s="4">
        <f>I46/$C$55</f>
        <v>1.9443268952546295E-2</v>
      </c>
    </row>
    <row r="47" spans="1:10">
      <c r="A47" s="1"/>
      <c r="B47" s="1" t="s">
        <v>9</v>
      </c>
      <c r="D47">
        <v>-8.0000000000000004E-4</v>
      </c>
      <c r="E47">
        <v>0.29220000000000002</v>
      </c>
      <c r="F47">
        <v>342705</v>
      </c>
      <c r="G47" s="4">
        <f>F47/$C$55</f>
        <v>1.0329408998842592E-2</v>
      </c>
      <c r="I47">
        <v>574920</v>
      </c>
      <c r="J47" s="4">
        <f>I47/$C$55</f>
        <v>1.7328559027777777E-2</v>
      </c>
    </row>
    <row r="48" spans="1:10">
      <c r="A48" s="1"/>
      <c r="B48" s="1" t="s">
        <v>10</v>
      </c>
      <c r="D48">
        <v>-1E-3</v>
      </c>
      <c r="E48">
        <v>0.27489999999999998</v>
      </c>
      <c r="F48">
        <v>299696</v>
      </c>
      <c r="G48" s="4">
        <f>F48/$C$55</f>
        <v>9.0330825617283943E-3</v>
      </c>
      <c r="I48">
        <v>518781</v>
      </c>
      <c r="J48" s="4">
        <f>I48/$C$55</f>
        <v>1.5636483651620372E-2</v>
      </c>
    </row>
    <row r="49" spans="1:10">
      <c r="A49" s="1"/>
      <c r="B49" s="1" t="s">
        <v>11</v>
      </c>
      <c r="D49">
        <v>-5.1000000000000004E-3</v>
      </c>
      <c r="E49">
        <v>0.30520000000000003</v>
      </c>
      <c r="F49">
        <v>359712</v>
      </c>
      <c r="G49" s="4">
        <f>F49/$C$55</f>
        <v>1.0842013888888889E-2</v>
      </c>
      <c r="I49">
        <v>612399</v>
      </c>
      <c r="J49" s="4">
        <f>I49/$C$55</f>
        <v>1.8458206741898148E-2</v>
      </c>
    </row>
    <row r="50" spans="1:10">
      <c r="A50" s="1"/>
      <c r="B50" s="1" t="s">
        <v>12</v>
      </c>
      <c r="D50">
        <v>-5.0000000000000001E-4</v>
      </c>
      <c r="E50">
        <v>0.1459</v>
      </c>
      <c r="F50">
        <v>100931</v>
      </c>
      <c r="G50" s="4">
        <f>(F50/$C$54)</f>
        <v>2.1040757751627707E-3</v>
      </c>
      <c r="I50">
        <v>168243</v>
      </c>
      <c r="J50" s="4">
        <f>(I50/$C$54)</f>
        <v>3.5073071765930196E-3</v>
      </c>
    </row>
    <row r="51" spans="1:10">
      <c r="A51" s="1"/>
      <c r="B51" s="1" t="s">
        <v>13</v>
      </c>
      <c r="D51">
        <v>-1E-4</v>
      </c>
      <c r="E51">
        <v>0.11269999999999999</v>
      </c>
      <c r="F51">
        <v>66071</v>
      </c>
      <c r="G51" s="4">
        <f>(F51/$C$54)</f>
        <v>1.3773606775002668E-3</v>
      </c>
      <c r="I51">
        <v>115361</v>
      </c>
      <c r="J51" s="4">
        <f>(I51/$C$54)</f>
        <v>2.4048932983776286E-3</v>
      </c>
    </row>
    <row r="52" spans="1:10">
      <c r="G52" s="4"/>
      <c r="J52" s="4"/>
    </row>
    <row r="54" spans="1:10">
      <c r="C54">
        <v>47969280</v>
      </c>
      <c r="D54" t="s">
        <v>17</v>
      </c>
    </row>
    <row r="55" spans="1:10">
      <c r="C55">
        <v>33177600</v>
      </c>
      <c r="D55" t="s">
        <v>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Box size comparisons for SIR</vt:lpstr>
      <vt:lpstr>BGI before and after mods</vt:lpstr>
    </vt:vector>
  </TitlesOfParts>
  <Company>NSIDC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Molly Hardman</dc:creator>
  <cp:lastModifiedBy>mhardman</cp:lastModifiedBy>
  <dcterms:created xsi:type="dcterms:W3CDTF">2015-07-27T16:41:48Z</dcterms:created>
  <dcterms:modified xsi:type="dcterms:W3CDTF">2015-09-17T18:13:41Z</dcterms:modified>
</cp:coreProperties>
</file>